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https://d.docs.live.net/29751ec710e8ff36/Documents/Sport/Test_SL_automated_program/"/>
    </mc:Choice>
  </mc:AlternateContent>
  <xr:revisionPtr revIDLastSave="3535" documentId="13_ncr:1_{D2109EF4-90C7-4CBF-81B9-5E15233A52FA}" xr6:coauthVersionLast="47" xr6:coauthVersionMax="47" xr10:uidLastSave="{5E9DEABA-1B7D-444E-A93F-EF00605D7A2F}"/>
  <bookViews>
    <workbookView xWindow="-108" yWindow="-108" windowWidth="23256" windowHeight="12456" tabRatio="810" activeTab="2" xr2:uid="{00000000-000D-0000-FFFF-FFFF00000000}"/>
  </bookViews>
  <sheets>
    <sheet name="1.Introduction" sheetId="11" r:id="rId1"/>
    <sheet name="2.Presentation" sheetId="3" r:id="rId2"/>
    <sheet name="3.Inputs" sheetId="1" r:id="rId3"/>
    <sheet name="4.Warm-up" sheetId="13" r:id="rId4"/>
    <sheet name="5.Program" sheetId="2" r:id="rId5"/>
    <sheet name="Informations" sheetId="15" r:id="rId6"/>
    <sheet name="RIS_Calculation" sheetId="9" r:id="rId7"/>
    <sheet name="Exercises" sheetId="6" state="hidden" r:id="rId8"/>
    <sheet name="DATA_Building" sheetId="4" state="hidden" r:id="rId9"/>
    <sheet name="DATA_Construction" sheetId="12" state="hidden"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7" i="9" l="1"/>
  <c r="C27" i="9"/>
  <c r="E22" i="1"/>
  <c r="F2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Matthias Gisselbrecht</author>
  </authors>
  <commentList>
    <comment ref="D14" authorId="0" shapeId="0" xr:uid="{49F8EAA8-C460-43E1-96DC-8C8AF0B47DAD}">
      <text>
        <r>
          <rPr>
            <sz val="9"/>
            <color indexed="81"/>
            <rFont val="Tahoma"/>
            <family val="2"/>
          </rPr>
          <t>Si l'athlète choisit de réaliser 3 séances par semaine, les points faibles ne seront pas_x000D_
pris en compte. Passer à 4, 5 ou 6 séances pour obtenir un programme plus optimisé.</t>
        </r>
      </text>
    </comment>
    <comment ref="B20" authorId="0" shapeId="0" xr:uid="{DCEADEE8-E010-4B64-B562-F2820902D5DF}">
      <text>
        <r>
          <rPr>
            <b/>
            <sz val="9"/>
            <color indexed="81"/>
            <rFont val="Tahoma"/>
            <family val="2"/>
          </rPr>
          <t>Si vous pouvez réaliser un muscle up au poids du corps, entrez 0. _x000D_
Si vous ne pouvez pas encore réaliser un muscle up au poids du corps, entrez X.</t>
        </r>
      </text>
    </comment>
    <comment ref="F20" authorId="0" shapeId="0" xr:uid="{92542D3A-A5FE-462A-8759-92032630851E}">
      <text>
        <r>
          <rPr>
            <sz val="9"/>
            <color indexed="81"/>
            <rFont val="Tahoma"/>
            <family val="2"/>
          </rPr>
          <t>L'Indice Relatif pour le Streetlifting (IRS) est un indice utilisé pour évaluer_x000D_
la performance d'un athlète en streetlifting par rapport à son poids corporel_x000D_
et à son sexe. Il permet des comparaisons équitables entre athlètes_x000D_
de poids différents en mettant en évidence la force relative.</t>
        </r>
      </text>
    </comment>
    <comment ref="E28" authorId="0" shapeId="0" xr:uid="{F8AF14AB-8C94-43E9-84D1-6F25BEBF47E6}">
      <text>
        <r>
          <rPr>
            <sz val="9"/>
            <color indexed="81"/>
            <rFont val="Tahoma"/>
            <family val="2"/>
          </rPr>
          <t>Faiblesse PRINCIPALE : sera ciblée en priorité.</t>
        </r>
      </text>
    </comment>
    <comment ref="E30" authorId="0" shapeId="0" xr:uid="{B188670A-815D-4F9A-B82B-5EEAA88F0F95}">
      <text>
        <r>
          <rPr>
            <sz val="9"/>
            <color indexed="81"/>
            <rFont val="Tahoma"/>
            <family val="2"/>
          </rPr>
          <t>Faiblesse SECONDAIRE : sera ciblée après la faiblesse principale.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Matthias Gisselbrecht</author>
  </authors>
  <commentList>
    <comment ref="F6" authorId="0" shapeId="0" xr:uid="{419ACF66-178C-427F-852B-92C6BA8F2E19}">
      <text>
        <r>
          <rPr>
            <sz val="9"/>
            <color indexed="81"/>
            <rFont val="Tahoma"/>
            <family val="2"/>
          </rPr>
          <t>RPE = Rate of Perceived Exertion. Varie de 0 à 10 pour évaluer l'effort qu'une activité nécessite. RPE 8 = 2 répétitions en réserve, RPE 9 = 1 répétition en réserve...</t>
        </r>
      </text>
    </comment>
    <comment ref="G6" authorId="0" shapeId="0" xr:uid="{2690AE81-F465-4ED8-87EC-489815B781EB}">
      <text>
        <r>
          <rPr>
            <sz val="9"/>
            <color indexed="81"/>
            <rFont val="Tahoma"/>
            <family val="2"/>
          </rPr>
          <t>Si aucune charge n'est renseignée, l'athlète doit choisir une charge qu'il/elle juge adaptée pour respecter la RPE imposée.</t>
        </r>
      </text>
    </comment>
    <comment ref="Q6" authorId="0" shapeId="0" xr:uid="{043E4142-CD1E-4F2E-B913-FC8127C5DE87}">
      <text>
        <r>
          <rPr>
            <sz val="9"/>
            <color indexed="81"/>
            <rFont val="Tahoma"/>
            <family val="2"/>
          </rPr>
          <t>RPE = Rate of Perceived Exertion. Varie de 0 à 10 pour évaluer l'effort qu'une activité nécessite. RPE 8 = 2 répétitions en réserve, RPE 9 = 1 répétition en réserve...</t>
        </r>
      </text>
    </comment>
    <comment ref="R6" authorId="0" shapeId="0" xr:uid="{EB640969-B41A-40D8-B75A-635A08D8E77A}">
      <text>
        <r>
          <rPr>
            <sz val="9"/>
            <color indexed="81"/>
            <rFont val="Tahoma"/>
            <family val="2"/>
          </rPr>
          <t>Si aucune charge n'est renseignée, l'athlète doit choisir une charge qu'il/elle juge adaptée pour respecter la RPE imposée.</t>
        </r>
      </text>
    </comment>
    <comment ref="AB6" authorId="0" shapeId="0" xr:uid="{1C251081-2482-46EC-8C20-4DA822F656F4}">
      <text>
        <r>
          <rPr>
            <sz val="9"/>
            <color indexed="81"/>
            <rFont val="Tahoma"/>
            <family val="2"/>
          </rPr>
          <t>RPE = Rate of Perceived Exertion. Varie de 0 à 10 pour évaluer l'effort qu'une activité nécessite. RPE 8 = 2 répétitions en réserve, RPE 9 = 1 répétition en réserve...</t>
        </r>
      </text>
    </comment>
    <comment ref="AC6" authorId="0" shapeId="0" xr:uid="{313FC683-D972-4F95-B5AB-5A7CB8850BEB}">
      <text>
        <r>
          <rPr>
            <sz val="9"/>
            <color indexed="81"/>
            <rFont val="Tahoma"/>
            <family val="2"/>
          </rPr>
          <t>Si aucune charge n'est renseignée, l'athlète doit choisir une charge qu'il/elle juge adaptée pour respecter la RPE imposée.</t>
        </r>
      </text>
    </comment>
    <comment ref="AM6" authorId="0" shapeId="0" xr:uid="{D7FA817A-DF79-456B-8F66-314A47E9D5F8}">
      <text>
        <r>
          <rPr>
            <sz val="9"/>
            <color indexed="81"/>
            <rFont val="Tahoma"/>
            <family val="2"/>
          </rPr>
          <t>RPE = Rate of Perceived Exertion. Varie de 0 à 10 pour évaluer l'effort qu'une activité nécessite. RPE 8 = 2 répétitions en réserve, RPE 9 = 1 répétition en réserve...</t>
        </r>
      </text>
    </comment>
    <comment ref="AN6" authorId="0" shapeId="0" xr:uid="{2EFA1252-07BE-4FAB-BBAA-9E2FA9668750}">
      <text>
        <r>
          <rPr>
            <sz val="9"/>
            <color indexed="81"/>
            <rFont val="Tahoma"/>
            <family val="2"/>
          </rPr>
          <t>Si aucune charge n'est renseignée, l'athlète doit choisir une charge qu'il/elle juge adaptée pour respecter la RPE imposée.</t>
        </r>
      </text>
    </comment>
    <comment ref="AX6" authorId="0" shapeId="0" xr:uid="{2FEC4C47-E33B-4F61-8AA6-C8D331CFEA82}">
      <text>
        <r>
          <rPr>
            <sz val="9"/>
            <color indexed="81"/>
            <rFont val="Tahoma"/>
            <family val="2"/>
          </rPr>
          <t>RPE = Rate of Perceived Exertion. Varie de 0 à 10 pour évaluer l'effort qu'une activité nécessite. RPE 8 = 2 répétitions en réserve, RPE 9 = 1 répétition en réserve...</t>
        </r>
      </text>
    </comment>
    <comment ref="AY6" authorId="0" shapeId="0" xr:uid="{33D787AA-07A5-49CC-AC70-17A3380C3A2F}">
      <text>
        <r>
          <rPr>
            <sz val="9"/>
            <color indexed="81"/>
            <rFont val="Tahoma"/>
            <family val="2"/>
          </rPr>
          <t>Si aucune charge n'est renseignée, l'athlète doit choisir une charge qu'il/elle juge adaptée pour respecter la RPE imposée.</t>
        </r>
      </text>
    </comment>
    <comment ref="BI6" authorId="0" shapeId="0" xr:uid="{39849644-61D2-46AF-90B3-1C8BB037739E}">
      <text>
        <r>
          <rPr>
            <sz val="9"/>
            <color indexed="81"/>
            <rFont val="Tahoma"/>
            <family val="2"/>
          </rPr>
          <t>RPE = Rate of Perceived Exertion. Varie de 0 à 10 pour évaluer l'effort qu'une activité nécessite. RPE 8 = 2 répétitions en réserve, RPE 9 = 1 répétition en réserve...</t>
        </r>
      </text>
    </comment>
    <comment ref="BJ6" authorId="0" shapeId="0" xr:uid="{B692AD21-42AD-4521-A0CA-CAF724B83177}">
      <text>
        <r>
          <rPr>
            <sz val="9"/>
            <color indexed="81"/>
            <rFont val="Tahoma"/>
            <family val="2"/>
          </rPr>
          <t>Si aucune charge n'est renseignée, l'athlète doit choisir une charge qu'il/elle juge adaptée pour respecter la RPE imposée.</t>
        </r>
      </text>
    </comment>
    <comment ref="F12" authorId="0" shapeId="0" xr:uid="{6EB10A6F-267E-404E-9EBD-26FF09492C24}">
      <text>
        <r>
          <rPr>
            <sz val="9"/>
            <color indexed="81"/>
            <rFont val="Tahoma"/>
            <family val="2"/>
          </rPr>
          <t>RPE = Rate of Perceived Exertion. Varie de 0 à 10 pour évaluer l'effort qu'une activité nécessite. RPE 8 = 2 répétitions en réserve, RPE 9 = 1 répétition en réserve...</t>
        </r>
      </text>
    </comment>
    <comment ref="G12" authorId="0" shapeId="0" xr:uid="{757A1E59-40CF-41D0-B0FB-75D140C68450}">
      <text>
        <r>
          <rPr>
            <sz val="9"/>
            <color indexed="81"/>
            <rFont val="Tahoma"/>
            <family val="2"/>
          </rPr>
          <t>Si aucune charge n'est renseignée, l'athlète doit choisir une charge qu'il/elle juge adaptée pour respecter la RPE imposée.</t>
        </r>
      </text>
    </comment>
    <comment ref="Q12" authorId="0" shapeId="0" xr:uid="{F6B2A2A0-879B-4695-B67C-1AFBF33EBE70}">
      <text>
        <r>
          <rPr>
            <sz val="9"/>
            <color indexed="81"/>
            <rFont val="Tahoma"/>
            <family val="2"/>
          </rPr>
          <t>RPE = Rate of Perceived Exertion. Varie de 0 à 10 pour évaluer l'effort qu'une activité nécessite. RPE 8 = 2 répétitions en réserve, RPE 9 = 1 répétition en réserve...</t>
        </r>
      </text>
    </comment>
    <comment ref="R12" authorId="0" shapeId="0" xr:uid="{A0CB4EA0-BB33-4B2F-A9FF-3ED58162E1BA}">
      <text>
        <r>
          <rPr>
            <sz val="9"/>
            <color indexed="81"/>
            <rFont val="Tahoma"/>
            <family val="2"/>
          </rPr>
          <t>Si aucune charge n'est renseignée, l'athlète doit choisir une charge qu'il/elle juge adaptée pour respecter la RPE imposée.</t>
        </r>
      </text>
    </comment>
    <comment ref="AB12" authorId="0" shapeId="0" xr:uid="{9E8DABC8-9AD0-483F-BA5D-07EF8FF0463C}">
      <text>
        <r>
          <rPr>
            <sz val="9"/>
            <color indexed="81"/>
            <rFont val="Tahoma"/>
            <family val="2"/>
          </rPr>
          <t>RPE = Rate of Perceived Exertion. Varie de 0 à 10 pour évaluer l'effort qu'une activité nécessite. RPE 8 = 2 répétitions en réserve, RPE 9 = 1 répétition en réserve...</t>
        </r>
      </text>
    </comment>
    <comment ref="AC12" authorId="0" shapeId="0" xr:uid="{5CA5B600-358D-4A1E-A9D8-1E763F96CF30}">
      <text>
        <r>
          <rPr>
            <sz val="9"/>
            <color indexed="81"/>
            <rFont val="Tahoma"/>
            <family val="2"/>
          </rPr>
          <t>Si aucune charge n'est renseignée, l'athlète doit choisir une charge qu'il/elle juge adaptée pour respecter la RPE imposée.</t>
        </r>
      </text>
    </comment>
    <comment ref="AM12" authorId="0" shapeId="0" xr:uid="{334D3C24-115C-410F-94FE-10022B964F11}">
      <text>
        <r>
          <rPr>
            <sz val="9"/>
            <color indexed="81"/>
            <rFont val="Tahoma"/>
            <family val="2"/>
          </rPr>
          <t>RPE = Rate of Perceived Exertion. Varie de 0 à 10 pour évaluer l'effort qu'une activité nécessite. RPE 8 = 2 répétitions en réserve, RPE 9 = 1 répétition en réserve...</t>
        </r>
      </text>
    </comment>
    <comment ref="AN12" authorId="0" shapeId="0" xr:uid="{F1BF342B-6C03-45A8-9127-C124DE692A51}">
      <text>
        <r>
          <rPr>
            <sz val="9"/>
            <color indexed="81"/>
            <rFont val="Tahoma"/>
            <family val="2"/>
          </rPr>
          <t>Si aucune charge n'est renseignée, l'athlète doit choisir une charge qu'il/elle juge adaptée pour respecter la RPE imposée.</t>
        </r>
      </text>
    </comment>
    <comment ref="AX12" authorId="0" shapeId="0" xr:uid="{891720A9-755B-4F6A-BB93-E13CFE2F31A5}">
      <text>
        <r>
          <rPr>
            <sz val="9"/>
            <color indexed="81"/>
            <rFont val="Tahoma"/>
            <family val="2"/>
          </rPr>
          <t>RPE = Rate of Perceived Exertion. Varie de 0 à 10 pour évaluer l'effort qu'une activité nécessite. RPE 8 = 2 répétitions en réserve, RPE 9 = 1 répétition en réserve...</t>
        </r>
      </text>
    </comment>
    <comment ref="AY12" authorId="0" shapeId="0" xr:uid="{622DBF56-87C8-4AAB-8FF7-9A84E0457BBF}">
      <text>
        <r>
          <rPr>
            <sz val="9"/>
            <color indexed="81"/>
            <rFont val="Tahoma"/>
            <family val="2"/>
          </rPr>
          <t>Si aucune charge n'est renseignée, l'athlète doit choisir une charge qu'il/elle juge adaptée pour respecter la RPE imposée.</t>
        </r>
      </text>
    </comment>
    <comment ref="BI12" authorId="0" shapeId="0" xr:uid="{33FE1D69-37DA-49BD-B6F5-5061948956F1}">
      <text>
        <r>
          <rPr>
            <sz val="9"/>
            <color indexed="81"/>
            <rFont val="Tahoma"/>
            <family val="2"/>
          </rPr>
          <t>RPE = Rate of Perceived Exertion. Varie de 0 à 10 pour évaluer l'effort qu'une activité nécessite. RPE 8 = 2 répétitions en réserve, RPE 9 = 1 répétition en réserve...</t>
        </r>
      </text>
    </comment>
    <comment ref="BJ12" authorId="0" shapeId="0" xr:uid="{499FACED-00F2-4091-9665-83BD789B93A6}">
      <text>
        <r>
          <rPr>
            <sz val="9"/>
            <color indexed="81"/>
            <rFont val="Tahoma"/>
            <family val="2"/>
          </rPr>
          <t>Si aucune charge n'est renseignée, l'athlète doit choisir une charge qu'il/elle juge adaptée pour respecter la RPE imposée.</t>
        </r>
      </text>
    </comment>
    <comment ref="F18" authorId="0" shapeId="0" xr:uid="{6D562AD1-8B76-4DE3-A96A-57D99893051A}">
      <text>
        <r>
          <rPr>
            <sz val="9"/>
            <color indexed="81"/>
            <rFont val="Tahoma"/>
            <family val="2"/>
          </rPr>
          <t>RPE = Rate of Perceived Exertion. Varie de 0 à 10 pour évaluer l'effort qu'une activité nécessite. RPE 8 = 2 répétitions en réserve, RPE 9 = 1 répétition en réserve...</t>
        </r>
      </text>
    </comment>
    <comment ref="G18" authorId="0" shapeId="0" xr:uid="{9B75E937-5394-4AD9-8C06-16ED54B1ED7C}">
      <text>
        <r>
          <rPr>
            <sz val="9"/>
            <color indexed="81"/>
            <rFont val="Tahoma"/>
            <family val="2"/>
          </rPr>
          <t>Si aucune charge n'est renseignée, l'athlète doit choisir une charge qu'il/elle juge adaptée pour respecter la RPE imposée.</t>
        </r>
      </text>
    </comment>
    <comment ref="Q18" authorId="0" shapeId="0" xr:uid="{E317B63C-F307-4EB5-BE2B-2978FD177F95}">
      <text>
        <r>
          <rPr>
            <sz val="9"/>
            <color indexed="81"/>
            <rFont val="Tahoma"/>
            <family val="2"/>
          </rPr>
          <t>RPE = Rate of Perceived Exertion. Varie de 0 à 10 pour évaluer l'effort qu'une activité nécessite. RPE 8 = 2 répétitions en réserve, RPE 9 = 1 répétition en réserve...</t>
        </r>
      </text>
    </comment>
    <comment ref="R18" authorId="0" shapeId="0" xr:uid="{E9A23F02-95F0-41FF-A328-06CE3A7D3265}">
      <text>
        <r>
          <rPr>
            <sz val="9"/>
            <color indexed="81"/>
            <rFont val="Tahoma"/>
            <family val="2"/>
          </rPr>
          <t>Si aucune charge n'est renseignée, l'athlète doit choisir une charge qu'il/elle juge adaptée pour respecter la RPE imposée.</t>
        </r>
      </text>
    </comment>
    <comment ref="AB18" authorId="0" shapeId="0" xr:uid="{92292E4D-C897-47C4-891A-157982D577B1}">
      <text>
        <r>
          <rPr>
            <sz val="9"/>
            <color indexed="81"/>
            <rFont val="Tahoma"/>
            <family val="2"/>
          </rPr>
          <t>RPE = Rate of Perceived Exertion. Varie de 0 à 10 pour évaluer l'effort qu'une activité nécessite. RPE 8 = 2 répétitions en réserve, RPE 9 = 1 répétition en réserve...</t>
        </r>
      </text>
    </comment>
    <comment ref="AC18" authorId="0" shapeId="0" xr:uid="{456BBF41-CCBA-454F-82A2-4C5495C386C9}">
      <text>
        <r>
          <rPr>
            <sz val="9"/>
            <color indexed="81"/>
            <rFont val="Tahoma"/>
            <family val="2"/>
          </rPr>
          <t>Si aucune charge n'est renseignée, l'athlète doit choisir une charge qu'il/elle juge adaptée pour respecter la RPE imposée.</t>
        </r>
      </text>
    </comment>
    <comment ref="AM18" authorId="0" shapeId="0" xr:uid="{CD8C69F8-7053-471A-9DEB-7A385A43C473}">
      <text>
        <r>
          <rPr>
            <sz val="9"/>
            <color indexed="81"/>
            <rFont val="Tahoma"/>
            <family val="2"/>
          </rPr>
          <t>RPE = Rate of Perceived Exertion. Varie de 0 à 10 pour évaluer l'effort qu'une activité nécessite. RPE 8 = 2 répétitions en réserve, RPE 9 = 1 répétition en réserve...</t>
        </r>
      </text>
    </comment>
    <comment ref="AN18" authorId="0" shapeId="0" xr:uid="{FF6823A3-3BF7-4D09-B1DC-2B2625B6A821}">
      <text>
        <r>
          <rPr>
            <sz val="9"/>
            <color indexed="81"/>
            <rFont val="Tahoma"/>
            <family val="2"/>
          </rPr>
          <t>Si aucune charge n'est renseignée, l'athlète doit choisir une charge qu'il/elle juge adaptée pour respecter la RPE imposée.</t>
        </r>
      </text>
    </comment>
    <comment ref="AX18" authorId="0" shapeId="0" xr:uid="{D4FB47C4-764D-46DC-9A09-352A07D39472}">
      <text>
        <r>
          <rPr>
            <sz val="9"/>
            <color indexed="81"/>
            <rFont val="Tahoma"/>
            <family val="2"/>
          </rPr>
          <t>RPE = Rate of Perceived Exertion. Varie de 0 à 10 pour évaluer l'effort qu'une activité nécessite. RPE 8 = 2 répétitions en réserve, RPE 9 = 1 répétition en réserve...</t>
        </r>
      </text>
    </comment>
    <comment ref="AY18" authorId="0" shapeId="0" xr:uid="{4E8A6A59-F8E9-4D47-A1AA-BB4BB033E66A}">
      <text>
        <r>
          <rPr>
            <sz val="9"/>
            <color indexed="81"/>
            <rFont val="Tahoma"/>
            <family val="2"/>
          </rPr>
          <t>Si aucune charge n'est renseignée, l'athlète doit choisir une charge qu'il/elle juge adaptée pour respecter la RPE imposée.</t>
        </r>
      </text>
    </comment>
    <comment ref="BI18" authorId="0" shapeId="0" xr:uid="{DDFAE8AB-D1CD-4BFA-AB58-AFC23B7B77DE}">
      <text>
        <r>
          <rPr>
            <sz val="9"/>
            <color indexed="81"/>
            <rFont val="Tahoma"/>
            <family val="2"/>
          </rPr>
          <t>RPE = Rate of Perceived Exertion. Varie de 0 à 10 pour évaluer l'effort qu'une activité nécessite. RPE 8 = 2 répétitions en réserve, RPE 9 = 1 répétition en réserve...</t>
        </r>
      </text>
    </comment>
    <comment ref="BJ18" authorId="0" shapeId="0" xr:uid="{2D784971-3643-4DA8-8E7E-C7577268B43B}">
      <text>
        <r>
          <rPr>
            <sz val="9"/>
            <color indexed="81"/>
            <rFont val="Tahoma"/>
            <family val="2"/>
          </rPr>
          <t>Si aucune charge n'est renseignée, l'athlète doit choisir une charge qu'il/elle juge adaptée pour respecter la RPE imposée.</t>
        </r>
      </text>
    </comment>
  </commentList>
</comments>
</file>

<file path=xl/sharedStrings.xml><?xml version="1.0" encoding="utf-8"?>
<sst xmlns="http://schemas.openxmlformats.org/spreadsheetml/2006/main" count="862" uniqueCount="263">
  <si>
    <t>RDL</t>
  </si>
  <si>
    <t>Weak points</t>
  </si>
  <si>
    <t>Trapezius</t>
  </si>
  <si>
    <t>Shoulders</t>
  </si>
  <si>
    <t>Lats</t>
  </si>
  <si>
    <t>Lumbars</t>
  </si>
  <si>
    <t>Glutes</t>
  </si>
  <si>
    <t>Hamstrings</t>
  </si>
  <si>
    <t>Quadriceps</t>
  </si>
  <si>
    <t>Biceps</t>
  </si>
  <si>
    <t>Triceps</t>
  </si>
  <si>
    <t>Chest</t>
  </si>
  <si>
    <t>DureeSeance</t>
  </si>
  <si>
    <t>Gender</t>
  </si>
  <si>
    <t>Male</t>
  </si>
  <si>
    <t>Female</t>
  </si>
  <si>
    <t>MU WEAK</t>
  </si>
  <si>
    <t>PU WEAK</t>
  </si>
  <si>
    <t>DIPS WEAK</t>
  </si>
  <si>
    <t>SQUAT WEAK</t>
  </si>
  <si>
    <t>Transition</t>
  </si>
  <si>
    <t>Pulling height</t>
  </si>
  <si>
    <t>Knee bending</t>
  </si>
  <si>
    <t>Pull timing</t>
  </si>
  <si>
    <t>Mid rep</t>
  </si>
  <si>
    <t>Bottom tension</t>
  </si>
  <si>
    <t>Shaking</t>
  </si>
  <si>
    <t>Lock</t>
  </si>
  <si>
    <t>Bottom position</t>
  </si>
  <si>
    <t>Depth</t>
  </si>
  <si>
    <t>MU</t>
  </si>
  <si>
    <t>PU</t>
  </si>
  <si>
    <t>DIPS</t>
  </si>
  <si>
    <t>SQUAT</t>
  </si>
  <si>
    <t>TIRAGE HORIZONTAL</t>
  </si>
  <si>
    <t>OHP</t>
  </si>
  <si>
    <t xml:space="preserve">PU </t>
  </si>
  <si>
    <t>PU 2</t>
  </si>
  <si>
    <t>RDL HALTERES</t>
  </si>
  <si>
    <t>CURL</t>
  </si>
  <si>
    <t xml:space="preserve">DIPS </t>
  </si>
  <si>
    <t>GAINAGE</t>
  </si>
  <si>
    <t>BSS</t>
  </si>
  <si>
    <t>JEFF CURL</t>
  </si>
  <si>
    <t>EXT POIGNET</t>
  </si>
  <si>
    <t>FACEPULL</t>
  </si>
  <si>
    <t>MU 2</t>
  </si>
  <si>
    <t>MU 1</t>
  </si>
  <si>
    <t>Exos classique</t>
  </si>
  <si>
    <t>Pas renfo weakpoint</t>
  </si>
  <si>
    <t>Pas variation specific weak</t>
  </si>
  <si>
    <t>Renfo weakpoints</t>
  </si>
  <si>
    <t>Variation specific weaknesses</t>
  </si>
  <si>
    <t>PU 1</t>
  </si>
  <si>
    <t>DIPS 1</t>
  </si>
  <si>
    <t>RENFO WP1</t>
  </si>
  <si>
    <t>MU2</t>
  </si>
  <si>
    <t>MU1</t>
  </si>
  <si>
    <t>EXT TRICEPS</t>
  </si>
  <si>
    <t>LEG RAISES</t>
  </si>
  <si>
    <t>SQUAT 1</t>
  </si>
  <si>
    <t>DIPS 2 WP</t>
  </si>
  <si>
    <t>SQUAT 2 WP</t>
  </si>
  <si>
    <t>Variation specific weaknesses DIPS SQUAT</t>
  </si>
  <si>
    <t>RENFO WP2</t>
  </si>
  <si>
    <t>SIDE PLANK</t>
  </si>
  <si>
    <t>MU 3 WP</t>
  </si>
  <si>
    <t>WALL HS HOLD</t>
  </si>
  <si>
    <t>EXTENSIONS MOLLET</t>
  </si>
  <si>
    <t>DEAD HANG</t>
  </si>
  <si>
    <t>PU2</t>
  </si>
  <si>
    <t>ROTATIONS CUBAINES</t>
  </si>
  <si>
    <t>CARDIO HAUTE INTENSITE</t>
  </si>
  <si>
    <t>CARDIO LOW INTENSITE</t>
  </si>
  <si>
    <t>Weak points exs</t>
  </si>
  <si>
    <t>Shrugs</t>
  </si>
  <si>
    <t>Lateral raises</t>
  </si>
  <si>
    <t>Lat pulldown</t>
  </si>
  <si>
    <t>Back extensions</t>
  </si>
  <si>
    <t>Hip thrust</t>
  </si>
  <si>
    <t>Leg curl</t>
  </si>
  <si>
    <t>Leg extension</t>
  </si>
  <si>
    <t>Incline curl</t>
  </si>
  <si>
    <t>Chest press</t>
  </si>
  <si>
    <t>High pullups</t>
  </si>
  <si>
    <t>2s Top pause pullups</t>
  </si>
  <si>
    <t>1,5 Pullups</t>
  </si>
  <si>
    <t>Dips tempo 3-2-0</t>
  </si>
  <si>
    <t>Dips against band</t>
  </si>
  <si>
    <t>Squat tempo 3-2-0</t>
  </si>
  <si>
    <t>Squat tempo 0-0-3</t>
  </si>
  <si>
    <t>Stato dynamic dips : 1s bot pause + 1s 45° pause</t>
  </si>
  <si>
    <t>RIS</t>
  </si>
  <si>
    <t>A</t>
  </si>
  <si>
    <t>K</t>
  </si>
  <si>
    <t>Q</t>
  </si>
  <si>
    <t>B</t>
  </si>
  <si>
    <t>v</t>
  </si>
  <si>
    <t>f(x)</t>
  </si>
  <si>
    <t>Deadstop MU</t>
  </si>
  <si>
    <t>MU - Object between legs</t>
  </si>
  <si>
    <t>MU - Against band</t>
  </si>
  <si>
    <t>SQUAT 2</t>
  </si>
  <si>
    <t>DIPS 2</t>
  </si>
  <si>
    <t>3s Deadstop pullups</t>
  </si>
  <si>
    <t>Lower position</t>
  </si>
  <si>
    <t>EXTERNAL ROTATIONS</t>
  </si>
  <si>
    <t>Top position</t>
  </si>
  <si>
    <t>Relative Index for Streetlifting Calculation</t>
  </si>
  <si>
    <t>Mid position</t>
  </si>
  <si>
    <t>0-0-3 Tempo pullups</t>
  </si>
  <si>
    <t>Asymmetric pulling</t>
  </si>
  <si>
    <r>
      <t>1RM DIPS</t>
    </r>
    <r>
      <rPr>
        <i/>
        <sz val="11"/>
        <color theme="1"/>
        <rFont val="Calibri"/>
        <family val="2"/>
        <scheme val="minor"/>
      </rPr>
      <t xml:space="preserve"> (kg)</t>
    </r>
  </si>
  <si>
    <r>
      <t xml:space="preserve">1RM SQUAT </t>
    </r>
    <r>
      <rPr>
        <i/>
        <sz val="11"/>
        <color theme="1"/>
        <rFont val="Calibri"/>
        <family val="2"/>
        <scheme val="minor"/>
      </rPr>
      <t>(kg)</t>
    </r>
  </si>
  <si>
    <r>
      <t>TOTAL</t>
    </r>
    <r>
      <rPr>
        <i/>
        <sz val="11"/>
        <color theme="1"/>
        <rFont val="Calibri"/>
        <family val="2"/>
        <scheme val="minor"/>
      </rPr>
      <t>(kg)</t>
    </r>
  </si>
  <si>
    <t>https://workout-temple.com/en/one-rep-max-calculators/</t>
  </si>
  <si>
    <r>
      <t xml:space="preserve">1RM PULLUP / CHINUP </t>
    </r>
    <r>
      <rPr>
        <i/>
        <sz val="11"/>
        <color theme="1"/>
        <rFont val="Calibri"/>
        <family val="2"/>
        <scheme val="minor"/>
      </rPr>
      <t>(kg)</t>
    </r>
  </si>
  <si>
    <r>
      <t xml:space="preserve">1RM MUSCLE UP </t>
    </r>
    <r>
      <rPr>
        <i/>
        <sz val="11"/>
        <color theme="1"/>
        <rFont val="Calibri"/>
        <family val="2"/>
        <scheme val="minor"/>
      </rPr>
      <t>(kg)</t>
    </r>
  </si>
  <si>
    <t xml:space="preserve">Choose your language by clicking on the flag  </t>
  </si>
  <si>
    <t>Choisissez votre langage en cliquant sur le drapeau</t>
  </si>
  <si>
    <t>STREET LIFTING</t>
  </si>
  <si>
    <t>DONNÉES DE L'ATHLÈTE</t>
  </si>
  <si>
    <t>Homme</t>
  </si>
  <si>
    <t>Femme</t>
  </si>
  <si>
    <t>Trapèzes</t>
  </si>
  <si>
    <t>Épaules</t>
  </si>
  <si>
    <t>Dos</t>
  </si>
  <si>
    <t>Lombaires</t>
  </si>
  <si>
    <t>Fessiers</t>
  </si>
  <si>
    <t>Ischios</t>
  </si>
  <si>
    <t>Pectoraux</t>
  </si>
  <si>
    <t>Élévations latérales</t>
  </si>
  <si>
    <t>Tirage vertical</t>
  </si>
  <si>
    <t>Extensions lombaires</t>
  </si>
  <si>
    <t>Curl incliné haltères</t>
  </si>
  <si>
    <t>Skullcrushers</t>
  </si>
  <si>
    <t>Barre au front</t>
  </si>
  <si>
    <t>Chest press machine</t>
  </si>
  <si>
    <t>Hauteur tirage</t>
  </si>
  <si>
    <t>Flexion genoux</t>
  </si>
  <si>
    <t>Timing tirage</t>
  </si>
  <si>
    <t>Tractions hautes</t>
  </si>
  <si>
    <t>MU - Contre élastique</t>
  </si>
  <si>
    <t>MU - Objet entre jambes</t>
  </si>
  <si>
    <t>Position haute</t>
  </si>
  <si>
    <t>Position basse</t>
  </si>
  <si>
    <t>Tirage asymétrique</t>
  </si>
  <si>
    <t>Maintien tension</t>
  </si>
  <si>
    <t>Tremblements</t>
  </si>
  <si>
    <t>Verouillage</t>
  </si>
  <si>
    <t>Amplitude</t>
  </si>
  <si>
    <t>Instructions</t>
  </si>
  <si>
    <t>At RPE</t>
  </si>
  <si>
    <t>3'</t>
  </si>
  <si>
    <t>Dips</t>
  </si>
  <si>
    <t>Squat</t>
  </si>
  <si>
    <t>2'30</t>
  </si>
  <si>
    <t>AMRAP</t>
  </si>
  <si>
    <t>Dips contre élastique</t>
  </si>
  <si>
    <t>Milieu remontée</t>
  </si>
  <si>
    <t>Milieu montée</t>
  </si>
  <si>
    <t>Scapulas</t>
  </si>
  <si>
    <t>INFORMATIONS</t>
  </si>
  <si>
    <t>1RM</t>
  </si>
  <si>
    <t>EMOM</t>
  </si>
  <si>
    <t>Poids maximal pour 1 répétition.</t>
  </si>
  <si>
    <t>Maximal weight for 1 repetition.</t>
  </si>
  <si>
    <t>TEMPO X-X-X</t>
  </si>
  <si>
    <t>RPE</t>
  </si>
  <si>
    <t>RPE = Rate of Perceived Exertion. Varie de 0 à 10 pour évaluer l'effort requis par une activité. Ex : RPE 8 = 2 répétitions en réserve, RPE 9 = 1 répétition en réserve…</t>
  </si>
  <si>
    <t>RPE = Rate of Perceived Exertion. Scales from 0 to 10 to rate how much effort an activity takes. Ex : RPE 8 = 2 reps in reserve, RPE 9 = 1 rep in reserve…</t>
  </si>
  <si>
    <t xml:space="preserve">               Vocabulaire</t>
  </si>
  <si>
    <t xml:space="preserve">               Vocabulary</t>
  </si>
  <si>
    <t>é</t>
  </si>
  <si>
    <t>ÔKEN</t>
  </si>
  <si>
    <t>Squat tempo 0-3-0</t>
  </si>
  <si>
    <t>Quand le nombre de répétitions d'un exercice est défini avec "At RPE", cela signifie que l'athlète doit effectuer des répétitions jusqu'à atteindre l'effort attendu. Exemple : At RPE 8 =&gt; S'arrêter à 2 répétitions de l'échec.</t>
  </si>
  <si>
    <t>When the repetitions for an exercise are indicated as "At RPE," the athlete should perform reps until reaching the target effort. For example, At RPE 8 =&gt; Stop with 2 reps left before failure.</t>
  </si>
  <si>
    <t>Sur un tempo, une ou plusieurs phases du mouvement est ralentie ou pausée durant un temps défini. (Ex : Tempo 3-2-0  =&gt; première phase ralentie en 3s, deuxième phase pausée 2s, troisième phase normale)</t>
  </si>
  <si>
    <t>On a tempo, one or more phases of the movement is slowed down or paused for a defined period. (Ex : Tempo 3-2-0 =&gt; first phase slowed down for 3 seconds, second phase paused for 2 seconds, normal third phase)</t>
  </si>
  <si>
    <t>Every minute on the minute (faire le nombre de répétitions demandé au début de la minute, puis se reposer jusqu'à la fin de la minute. Lorsque la prochaine minute débute, répéter le processus).</t>
  </si>
  <si>
    <t>Every minute on the minute (perform the specified number of repetitions at the start of the minute, then rest until the end of the minute. When the next minute begins, repeat the process).</t>
  </si>
  <si>
    <t>SEXE</t>
  </si>
  <si>
    <t>POIDS (kg)</t>
  </si>
  <si>
    <t>ORGANISATION</t>
  </si>
  <si>
    <t>NOMBRE DE SÉANCES PAR SEMAINE</t>
  </si>
  <si>
    <t>DURÉE SÉANCES (mn)</t>
  </si>
  <si>
    <t>4 MOUVEMENTS</t>
  </si>
  <si>
    <t>STATS COMPÉTITIVES</t>
  </si>
  <si>
    <t>FAIBLESSES</t>
  </si>
  <si>
    <t>MUSCULAIRE</t>
  </si>
  <si>
    <t>POINT FAIBLE 1</t>
  </si>
  <si>
    <t>POINT FAIBLE 2</t>
  </si>
  <si>
    <t>Repos entre chaque jambe</t>
  </si>
  <si>
    <t>Constants</t>
  </si>
  <si>
    <t>ÉCHAUFFEMENT</t>
  </si>
  <si>
    <t>Échauffement général</t>
  </si>
  <si>
    <t>Échauffement spécifique</t>
  </si>
  <si>
    <t>CARDIOVASCULAIRE_x000D_
[3-5 minutes]</t>
  </si>
  <si>
    <t>ARTICULAIRE_x000D_
[5 minutes]</t>
  </si>
  <si>
    <t>MUSCULAIRE_x000D_
[5-10 minutes]</t>
  </si>
  <si>
    <t>- Corde à sauter_x000D_
- Marche_x000D_
- Rameur_x000D_
- Jumping jacks...</t>
  </si>
  <si>
    <t>Poignets</t>
  </si>
  <si>
    <t>Coudes</t>
  </si>
  <si>
    <t>Chevilles</t>
  </si>
  <si>
    <t>Genoux</t>
  </si>
  <si>
    <t>Hanches</t>
  </si>
  <si>
    <t>Rotations, puis mettre les poignets à plat par terre dans tous les angles / toutes les directions.</t>
  </si>
  <si>
    <t>Faire des tours (les deux bras en même temps, puis un bras après l'autre).</t>
  </si>
  <si>
    <t>Faire des tours avant et arrière, faire des petits cercles sur le côté, mouvements dans toutes les directions.</t>
  </si>
  <si>
    <t>Faire des rétractions / protractions, dépressions / élévations à vide, juste avec le mouvement des épaules.</t>
  </si>
  <si>
    <t>Dorsiflexion : en position basse d'une fente, forcer le genou à aller vers l'avant (rajouter un poids sur le genou) en gardant le pied à plat.</t>
  </si>
  <si>
    <t>Attacher un élastique à un support puis le passer derrrière son genou : tendre la jambe contre la tension de l'élastique puis relâcher doucement. Faire plusieurs répétitions._x000D_
_x000D_
Leg extension.</t>
  </si>
  <si>
    <t>Attacher un élastique à un support puis le passer derrière le genou et se tourner de 90° : ouvrir la hanche contre la résistance de l'élastique._x000D_
_x000D_
Goblet squat._x000D_
_x000D_
Soulevé de terre jambes tendues.</t>
  </si>
  <si>
    <t>Épaules / Coiffe des rotateurs / Pectoraux</t>
  </si>
  <si>
    <t>Élastique : rotations externes, rotations internes, développé militaire, facepull._x000D_
Quelques pompes également</t>
  </si>
  <si>
    <t>Biceps / Triceps</t>
  </si>
  <si>
    <t>Élastique : curls, extensions triceps.</t>
  </si>
  <si>
    <t>Élastique : tirage horizontal, tirage vertical._x000D_
Rétractions scapulaires à la barre.</t>
  </si>
  <si>
    <t>Avant chaque mouvement, il est nécessaire de passer par plusieurs incréments (entre 2 et 5) avant d'arriver à sa série de travail effective, par exemple :_x000D_
_x000D_
- Muscle up lesté : échauffement cardiovasculaire (1), articulaire (2), musculaire (3), tractions, muscle up au poids du corps, puis incrément progressif des charges._x000D_
- Squat : échauffement cardiovasculaire (1), articulaire, musculaire et mobilité spécifique bas du corps (2 &amp; 3), puis incrément progressif des charges._x000D_
_x000D_
De même pour les exercices accessoires : les séries de travail doivent être précédées d'une ou plusieurs séries plus légères pour préparer à l'effort et limiter les risques de blessure.</t>
  </si>
  <si>
    <t>ÔKEN : STREETLIFTING - PROGRAMME ÉVOLUTIF SUR 6 SEMAINES</t>
  </si>
  <si>
    <t>L'ESPADA a créé un programme automatisé de streetlifting interactif via VBA. Ce programme est personnalisé et adaptatif en fonction du niveau de l'athlète, de ses faiblesses et du temps qu'il peut consacrer à l'entraînement. Il est conçu pour servir de base aux athlètes débutants ou intermédiaires qui souhaitent progresser en streetlifting et ne peuvent pas se permettre d'engager un coach._x000D_
Il est déconseillé de commencer ce programme en étant blessé ou sans avoir aucune expérience en salle de sport._x000D_
_x000D_
 Le programme vise à aider l'athlète à progresser sur une période de six semaines, avec un test de performance sur les mouvements de compétition à la fin. Il est recommandé de prendre une semaine à faible intensité (également appelée 'Deload') après avoir terminé le programme pour assurer une récupération adéquate.</t>
  </si>
  <si>
    <t>Ce programme ne remplace en aucun cas les services qu'un coach certifié peut fournir.</t>
  </si>
  <si>
    <t>Ce programme n'a pas de niveau pré-requis. Cependant, vous devrez avoir une estimation de vos 1 RM actuels (une répétition maximale) sur les principaux exercices. Vous trouverez ci-dessous un calculateur créé par Pere COLL pour vous aider à estimer votre 1RM à partir de performances connues (attention : le squat peut être surestimé) :</t>
  </si>
  <si>
    <t>Rendez-vous dans la feuille 'Inputs' pour entrer vos données personnelles et générer votre programme personnalisé !</t>
  </si>
  <si>
    <t>CORPOREL</t>
  </si>
  <si>
    <t>Semaine 1 : Introduction</t>
  </si>
  <si>
    <t>Semaine 2 : Développement</t>
  </si>
  <si>
    <t>Semaine 3 : Développement</t>
  </si>
  <si>
    <t>Semaine 4 : Développement</t>
  </si>
  <si>
    <t>Semaine 5 : Développement</t>
  </si>
  <si>
    <t>Semaine 6 : Test</t>
  </si>
  <si>
    <t>Ordre</t>
  </si>
  <si>
    <t>Exercice</t>
  </si>
  <si>
    <t>Séries</t>
  </si>
  <si>
    <t>Répétitions</t>
  </si>
  <si>
    <t>RPE cible</t>
  </si>
  <si>
    <t>Poids ciblé (kg)</t>
  </si>
  <si>
    <t>Repos</t>
  </si>
  <si>
    <t>Réalisé</t>
  </si>
  <si>
    <t>Commentaires</t>
  </si>
  <si>
    <t>Bras tendus en bas, menton au dessus de la barre</t>
  </si>
  <si>
    <t>Tirage horizontal unilatéral</t>
  </si>
  <si>
    <t>1'/bras</t>
  </si>
  <si>
    <t>Quand le bras droit travaille, seul le pied droit est sur le support</t>
  </si>
  <si>
    <t>Focus sur la protraction et dépression scapulaire</t>
  </si>
  <si>
    <t>Focus amplitude et bracing</t>
  </si>
  <si>
    <t>Soulevé de terre roumain</t>
  </si>
  <si>
    <t>Genoux légèrement pliés, dos neutre, projeter les hanches vers l'arrière</t>
  </si>
  <si>
    <t>Développé militaire barre</t>
  </si>
  <si>
    <t>Serrer les fessiers, finir le mouvement la barre verticalement au dessus de la tête</t>
  </si>
  <si>
    <t>Fentes bulgares haltères</t>
  </si>
  <si>
    <t>AMRAP : Maximum de répétitions =&gt; Garder une exécution aussi propre que possible!</t>
  </si>
  <si>
    <t>STREETLIFTING - 6 WEEKS EVOLUTIVE PROGRAM</t>
  </si>
  <si>
    <t>Pullup</t>
  </si>
  <si>
    <t>3-4'</t>
  </si>
  <si>
    <t>STREETLIFTING - PROGRAMME ÉVOLUTIF SUR 6 SEMAINES - 3 SÉANCES PAR SEMAINE</t>
  </si>
  <si>
    <t>1'30/jambe</t>
  </si>
  <si>
    <t>Utiliser un élastique : focus jambes tendues</t>
  </si>
  <si>
    <t>Utiliser un kipping de genoux pour gagner de la vitesse et faciliter la montée : réduire l'impulsion avec le temps</t>
  </si>
  <si>
    <t>Muscle up anneaux avec élastique</t>
  </si>
  <si>
    <t>Muscle up anneaux</t>
  </si>
  <si>
    <t>Sans élastique ! AMRAP : Maximum de répétitions =&gt; Garder une exécution aussi propre que possible!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</si>
</sst>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4"/>
      <color theme="1"/>
      <name val="Arial"/>
      <family val="2"/>
    </font>
    <font>
      <b/>
      <sz val="18"/>
      <color theme="1"/>
      <name val="Arial"/>
      <family val="2"/>
    </font>
    <font>
      <b/>
      <i/>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theme="1"/>
      <name val="Arial"/>
      <family val="2"/>
    </font>
    <font>
      <b/>
      <sz val="11"/>
      <color theme="1"/>
      <name val="Calibri"/>
      <family val="2"/>
      <scheme val="minor"/>
    </font>
    <font>
      <b/>
      <sz val="16"/>
      <color theme="1"/>
      <name val="Arial"/>
      <family val="2"/>
    </font>
    <font>
      <b/>
      <i/>
      <sz val="20"/>
      <color rgb="FFFF0000"/>
      <name val="Calibri"/>
      <family val="2"/>
    </font>
    <font>
      <sz val="9"/>
      <color indexed="81"/>
      <name val="Tahoma"/>
      <family val="2"/>
    </font>
    <font>
      <b/>
      <i/>
      <sz val="14"/>
      <color theme="1"/>
      <name val="Arial"/>
      <family val="2"/>
    </font>
    <font>
      <b/>
      <i/>
      <sz val="14"/>
      <color rgb="FFFF0000"/>
      <name val="Arial"/>
      <family val="2"/>
    </font>
    <font>
      <b/>
      <sz val="9"/>
      <color indexed="81"/>
      <name val="Tahoma"/>
      <family val="2"/>
    </font>
    <font>
      <i/>
      <sz val="11"/>
      <color theme="1"/>
      <name val="Calibri"/>
      <family val="2"/>
      <scheme val="minor"/>
    </font>
    <font>
      <u/>
      <sz val="11"/>
      <color theme="10"/>
      <name val="Calibri"/>
      <family val="2"/>
      <scheme val="minor"/>
    </font>
    <font>
      <b/>
      <u/>
      <sz val="16"/>
      <color rgb="FF0070C0"/>
      <name val="Calibri"/>
      <family val="2"/>
      <scheme val="minor"/>
    </font>
    <font>
      <b/>
      <i/>
      <sz val="11"/>
      <color rgb="FFFFFFFF"/>
      <name val="Calibri"/>
      <family val="2"/>
      <scheme val="minor"/>
    </font>
    <font>
      <b/>
      <sz val="17"/>
      <color rgb="FFFFFFFF"/>
      <name val="Calibri"/>
      <family val="2"/>
    </font>
    <font>
      <b/>
      <sz val="20"/>
      <color rgb="FFFFFFFF"/>
      <name val="Calibri"/>
      <family val="2"/>
    </font>
    <font>
      <b/>
      <sz val="15"/>
      <color theme="1"/>
      <name val="Calibri"/>
      <family val="2"/>
    </font>
    <font>
      <i/>
      <sz val="12"/>
      <color theme="1"/>
      <name val="Calibri"/>
      <family val="2"/>
    </font>
    <font>
      <b/>
      <sz val="12"/>
      <color theme="1"/>
      <name val="Calibri"/>
      <family val="2"/>
    </font>
    <font>
      <i/>
      <sz val="15"/>
      <color theme="1"/>
      <name val="Calibri"/>
      <family val="2"/>
    </font>
    <font>
      <i/>
      <sz val="11"/>
      <color theme="1"/>
      <name val="Arial"/>
      <family val="2"/>
    </font>
    <font>
      <b/>
      <i/>
      <sz val="48"/>
      <color theme="0"/>
      <name val="Goudy Old Style"/>
      <family val="1"/>
    </font>
  </fonts>
  <fills count="22">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rgb="FFCCCCCC"/>
        <bgColor indexed="64"/>
      </patternFill>
    </fill>
    <fill>
      <patternFill patternType="solid">
        <fgColor rgb="FFEFEFE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5" tint="0.59999389629810485"/>
        <bgColor indexed="64"/>
      </patternFill>
    </fill>
    <fill>
      <patternFill patternType="solid">
        <fgColor rgb="FF646464"/>
        <bgColor indexed="64"/>
      </patternFill>
    </fill>
    <fill>
      <patternFill patternType="solid">
        <fgColor rgb="FFB4B4B4"/>
        <bgColor indexed="64"/>
      </patternFill>
    </fill>
    <fill>
      <patternFill patternType="solid">
        <fgColor rgb="FFA0A0A0"/>
        <bgColor indexed="64"/>
      </patternFill>
    </fill>
    <fill>
      <patternFill patternType="solid">
        <fgColor rgb="FFDCDCDC"/>
        <bgColor indexed="64"/>
      </patternFill>
    </fill>
    <fill>
      <patternFill patternType="solid">
        <fgColor rgb="FFC8C8C8"/>
        <bgColor indexed="64"/>
      </patternFill>
    </fill>
    <fill>
      <patternFill patternType="solid">
        <fgColor rgb="FF434343"/>
        <bgColor indexed="64"/>
      </patternFill>
    </fill>
    <fill>
      <patternFill patternType="solid">
        <fgColor rgb="FFB7B7B7"/>
        <bgColor indexed="64"/>
      </patternFill>
    </fill>
    <fill>
      <patternFill patternType="solid">
        <fgColor rgb="FFD9D9D9"/>
        <bgColor indexed="64"/>
      </patternFill>
    </fill>
    <fill>
      <patternFill patternType="solid">
        <fgColor theme="0" tint="-0.249977111117893"/>
        <bgColor indexed="64"/>
      </patternFill>
    </fill>
  </fills>
  <borders count="17">
    <border>
      <left/>
      <right/>
      <top/>
      <bottom/>
      <diagonal/>
    </border>
    <border>
      <left/>
      <right/>
      <top style="thick">
        <color rgb="FF000000"/>
      </top>
      <bottom/>
      <diagonal/>
    </border>
    <border>
      <left/>
      <right/>
      <top/>
      <bottom style="thick">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theme="0"/>
      </top>
      <bottom style="thin">
        <color indexed="64"/>
      </bottom>
      <diagonal/>
    </border>
    <border>
      <left style="thin">
        <color indexed="64"/>
      </left>
      <right style="thin">
        <color theme="0"/>
      </right>
      <top style="thin">
        <color theme="0"/>
      </top>
      <bottom style="thin">
        <color indexed="64"/>
      </bottom>
      <diagonal/>
    </border>
    <border>
      <left style="thin">
        <color indexed="64"/>
      </left>
      <right style="thin">
        <color theme="0"/>
      </right>
      <top style="thin">
        <color indexed="64"/>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theme="0"/>
      </right>
      <top style="thin">
        <color indexed="64"/>
      </top>
      <bottom style="thin">
        <color theme="0"/>
      </bottom>
      <diagonal/>
    </border>
    <border>
      <left/>
      <right style="thin">
        <color indexed="64"/>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theme="0"/>
      </right>
      <top style="thin">
        <color indexed="64"/>
      </top>
      <bottom style="thin">
        <color theme="0"/>
      </bottom>
      <diagonal/>
    </border>
    <border>
      <left/>
      <right style="thin">
        <color indexed="64"/>
      </right>
      <top style="thin">
        <color indexed="64"/>
      </top>
      <bottom style="thin">
        <color theme="0"/>
      </bottom>
      <diagonal/>
    </border>
  </borders>
  <cellStyleXfs count="5">
    <xf numFmtId="0" fontId="0" fillId="0" borderId="0"/>
    <xf numFmtId="0" fontId="4" fillId="9"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16" fillId="0" borderId="0" applyNumberFormat="0" applyFill="0" applyBorder="0" applyAlignment="0" applyProtection="0"/>
  </cellStyleXfs>
  <cellXfs count="68">
    <xf numFmtId="0" fontId="0" fillId="0" borderId="0" xfId="0"/>
    <xf numFmtId="0" fontId="0" fillId="2" borderId="0" xfId="0" applyFill="1"/>
    <xf numFmtId="0" fontId="0" fillId="3" borderId="0" xfId="0" applyFill="1"/>
    <xf numFmtId="0" fontId="0" fillId="2" borderId="0" xfId="0" applyFill="1" applyAlignment="1">
      <alignment horizontal="center" vertical="center"/>
    </xf>
    <xf numFmtId="0" fontId="0" fillId="8" borderId="0" xfId="0" applyFill="1"/>
    <xf numFmtId="0" fontId="8" fillId="3" borderId="3" xfId="0" applyFont="1" applyFill="1" applyBorder="1" applyAlignment="1">
      <alignment horizontal="center" vertical="center"/>
    </xf>
    <xf numFmtId="0" fontId="0" fillId="2" borderId="0" xfId="0" applyFill="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1" fontId="0" fillId="0" borderId="0" xfId="0" applyNumberFormat="1" applyAlignment="1">
      <alignment horizontal="center" vertical="center"/>
    </xf>
    <xf numFmtId="1" fontId="0" fillId="2" borderId="0" xfId="0" applyNumberFormat="1" applyFill="1" applyAlignment="1">
      <alignment horizontal="center" vertical="center" wrapText="1"/>
    </xf>
    <xf numFmtId="0" fontId="0" fillId="2" borderId="0" xfId="0" applyFill="1" applyAlignment="1">
      <alignment horizontal="center"/>
    </xf>
    <xf numFmtId="0" fontId="3" fillId="7" borderId="0" xfId="0" applyFont="1" applyFill="1" applyAlignment="1">
      <alignment horizontal="center" vertical="center"/>
    </xf>
    <xf numFmtId="0" fontId="3" fillId="6" borderId="0" xfId="0" applyFont="1" applyFill="1" applyAlignment="1">
      <alignment horizontal="center" vertical="center"/>
    </xf>
    <xf numFmtId="0" fontId="0" fillId="8" borderId="0" xfId="0" applyFill="1" applyAlignment="1">
      <alignment vertical="center" wrapText="1"/>
    </xf>
    <xf numFmtId="0" fontId="8" fillId="14" borderId="3" xfId="0" applyFont="1" applyFill="1" applyBorder="1" applyAlignment="1">
      <alignment horizontal="center" vertical="center" wrapText="1"/>
    </xf>
    <xf numFmtId="0" fontId="8" fillId="15" borderId="3" xfId="0" applyFont="1" applyFill="1" applyBorder="1" applyAlignment="1">
      <alignment horizontal="center" vertical="center" wrapText="1"/>
    </xf>
    <xf numFmtId="0" fontId="0" fillId="16" borderId="3" xfId="0" applyFill="1" applyBorder="1" applyAlignment="1">
      <alignment horizontal="center" vertical="center" wrapText="1"/>
    </xf>
    <xf numFmtId="0" fontId="0" fillId="17" borderId="3" xfId="0" applyFill="1" applyBorder="1" applyAlignment="1">
      <alignment horizontal="center" vertical="center" wrapText="1"/>
    </xf>
    <xf numFmtId="0" fontId="0" fillId="14" borderId="3" xfId="0" applyFill="1" applyBorder="1" applyAlignment="1">
      <alignment horizontal="center" vertical="center" wrapText="1"/>
    </xf>
    <xf numFmtId="0" fontId="0" fillId="15" borderId="3" xfId="0" applyFill="1" applyBorder="1" applyAlignment="1">
      <alignment horizontal="center" vertical="center" wrapText="1"/>
    </xf>
    <xf numFmtId="0" fontId="0" fillId="2" borderId="0" xfId="2" applyFont="1" applyFill="1"/>
    <xf numFmtId="0" fontId="0" fillId="2" borderId="0" xfId="3" applyFont="1" applyFill="1"/>
    <xf numFmtId="0" fontId="0" fillId="2" borderId="0" xfId="1" applyFont="1" applyFill="1"/>
    <xf numFmtId="164" fontId="0" fillId="3" borderId="3" xfId="0" applyNumberFormat="1" applyFill="1" applyBorder="1" applyAlignment="1">
      <alignment horizontal="center" vertical="center"/>
    </xf>
    <xf numFmtId="0" fontId="12" fillId="5" borderId="3" xfId="0" applyFont="1" applyFill="1" applyBorder="1" applyAlignment="1">
      <alignment horizontal="center" vertical="center" wrapText="1"/>
    </xf>
    <xf numFmtId="0" fontId="26" fillId="2" borderId="0" xfId="0" applyFont="1" applyFill="1" applyAlignment="1">
      <alignment horizontal="center" vertical="center"/>
    </xf>
    <xf numFmtId="0" fontId="2" fillId="4" borderId="1"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12" fillId="5" borderId="1" xfId="0" applyFont="1" applyFill="1" applyBorder="1" applyAlignment="1">
      <alignment horizontal="center" vertical="center" wrapText="1"/>
    </xf>
    <xf numFmtId="0" fontId="13" fillId="5" borderId="1" xfId="0" applyFont="1" applyFill="1" applyBorder="1" applyAlignment="1">
      <alignment horizontal="center" vertical="center" wrapText="1"/>
    </xf>
    <xf numFmtId="0" fontId="13" fillId="5" borderId="0" xfId="0" applyFont="1" applyFill="1" applyAlignment="1">
      <alignment horizontal="center" vertical="center" wrapText="1"/>
    </xf>
    <xf numFmtId="0" fontId="17" fillId="5" borderId="0" xfId="4" applyFont="1" applyFill="1" applyBorder="1" applyAlignment="1">
      <alignment horizontal="center" vertical="center" wrapText="1"/>
    </xf>
    <xf numFmtId="0" fontId="12" fillId="5" borderId="0" xfId="0" applyFont="1" applyFill="1" applyAlignment="1">
      <alignment horizontal="center" vertical="center" wrapText="1"/>
    </xf>
    <xf numFmtId="0" fontId="1" fillId="4" borderId="0" xfId="0" applyFont="1" applyFill="1" applyAlignment="1">
      <alignment horizontal="center" vertical="center" wrapText="1"/>
    </xf>
    <xf numFmtId="1" fontId="3" fillId="12" borderId="0" xfId="0" applyNumberFormat="1" applyFont="1" applyFill="1" applyAlignment="1">
      <alignment horizontal="center" vertical="center"/>
    </xf>
    <xf numFmtId="0" fontId="3" fillId="7" borderId="0" xfId="0" applyFont="1" applyFill="1" applyAlignment="1">
      <alignment horizontal="center" vertical="center" wrapText="1"/>
    </xf>
    <xf numFmtId="0" fontId="3" fillId="7" borderId="0" xfId="0" applyFont="1" applyFill="1" applyAlignment="1">
      <alignment horizontal="center" vertical="center"/>
    </xf>
    <xf numFmtId="0" fontId="3" fillId="6" borderId="0" xfId="0" applyFont="1" applyFill="1" applyAlignment="1">
      <alignment horizontal="center" vertical="center"/>
    </xf>
    <xf numFmtId="0" fontId="3" fillId="12" borderId="0" xfId="0" applyFont="1" applyFill="1" applyAlignment="1">
      <alignment horizontal="center" vertical="center"/>
    </xf>
    <xf numFmtId="0" fontId="9" fillId="4" borderId="0" xfId="0" applyFont="1" applyFill="1" applyAlignment="1">
      <alignment horizontal="center" vertical="center" wrapText="1"/>
    </xf>
    <xf numFmtId="0" fontId="7" fillId="4" borderId="0" xfId="0" applyFont="1" applyFill="1" applyAlignment="1">
      <alignment horizontal="center" vertical="center" wrapText="1"/>
    </xf>
    <xf numFmtId="0" fontId="22" fillId="20" borderId="7" xfId="0" applyFont="1" applyFill="1" applyBorder="1" applyAlignment="1">
      <alignment horizontal="center" vertical="center" wrapText="1"/>
    </xf>
    <xf numFmtId="0" fontId="22" fillId="20" borderId="8" xfId="0" applyFont="1" applyFill="1" applyBorder="1" applyAlignment="1">
      <alignment horizontal="center" vertical="center" wrapText="1"/>
    </xf>
    <xf numFmtId="0" fontId="22" fillId="20" borderId="3" xfId="0" applyFont="1" applyFill="1" applyBorder="1" applyAlignment="1">
      <alignment horizontal="center" vertical="center" wrapText="1"/>
    </xf>
    <xf numFmtId="0" fontId="22" fillId="20" borderId="9" xfId="0" applyFont="1" applyFill="1" applyBorder="1" applyAlignment="1">
      <alignment horizontal="center" vertical="center" wrapText="1"/>
    </xf>
    <xf numFmtId="0" fontId="23" fillId="4" borderId="3" xfId="0" applyFont="1" applyFill="1" applyBorder="1" applyAlignment="1">
      <alignment horizontal="center" vertical="center" wrapText="1"/>
    </xf>
    <xf numFmtId="0" fontId="23" fillId="4" borderId="9" xfId="0" applyFont="1" applyFill="1" applyBorder="1" applyAlignment="1">
      <alignment horizontal="center" vertical="center" wrapText="1"/>
    </xf>
    <xf numFmtId="0" fontId="19" fillId="8" borderId="13" xfId="0" applyFont="1" applyFill="1" applyBorder="1" applyAlignment="1">
      <alignment horizontal="center" vertical="center" wrapText="1"/>
    </xf>
    <xf numFmtId="0" fontId="19" fillId="8" borderId="14" xfId="0" applyFont="1" applyFill="1" applyBorder="1" applyAlignment="1">
      <alignment horizontal="center" vertical="center" wrapText="1"/>
    </xf>
    <xf numFmtId="0" fontId="19" fillId="8" borderId="15" xfId="0" applyFont="1" applyFill="1" applyBorder="1" applyAlignment="1">
      <alignment horizontal="center" vertical="center" wrapText="1"/>
    </xf>
    <xf numFmtId="0" fontId="20" fillId="18" borderId="5" xfId="0" applyFont="1" applyFill="1" applyBorder="1" applyAlignment="1">
      <alignment horizontal="center" vertical="center" wrapText="1"/>
    </xf>
    <xf numFmtId="0" fontId="20" fillId="18" borderId="16" xfId="0" applyFont="1" applyFill="1" applyBorder="1" applyAlignment="1">
      <alignment horizontal="center" vertical="center" wrapText="1"/>
    </xf>
    <xf numFmtId="0" fontId="24" fillId="20" borderId="3" xfId="0" applyFont="1" applyFill="1" applyBorder="1" applyAlignment="1">
      <alignment horizontal="center" vertical="center" wrapText="1"/>
    </xf>
    <xf numFmtId="0" fontId="24" fillId="20" borderId="9" xfId="0" applyFont="1" applyFill="1" applyBorder="1" applyAlignment="1">
      <alignment horizontal="center" vertical="center" wrapText="1"/>
    </xf>
    <xf numFmtId="0" fontId="24" fillId="20" borderId="10" xfId="0" applyFont="1" applyFill="1" applyBorder="1" applyAlignment="1">
      <alignment horizontal="center" vertical="center" wrapText="1"/>
    </xf>
    <xf numFmtId="0" fontId="24" fillId="20" borderId="11" xfId="0" applyFont="1" applyFill="1" applyBorder="1" applyAlignment="1">
      <alignment horizontal="center" vertical="center" wrapText="1"/>
    </xf>
    <xf numFmtId="0" fontId="21" fillId="19" borderId="3"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1" fillId="19" borderId="7" xfId="0" applyFont="1" applyFill="1" applyBorder="1" applyAlignment="1">
      <alignment horizontal="center" vertical="center" wrapText="1"/>
    </xf>
    <xf numFmtId="0" fontId="18" fillId="13" borderId="0" xfId="0" applyFont="1" applyFill="1" applyAlignment="1">
      <alignment horizontal="center" vertical="center" wrapText="1"/>
    </xf>
    <xf numFmtId="0" fontId="0" fillId="8" borderId="0" xfId="0" applyFill="1" applyAlignment="1">
      <alignment horizontal="center" vertical="center" wrapText="1"/>
    </xf>
    <xf numFmtId="0" fontId="1" fillId="21" borderId="3"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2" fillId="4" borderId="0" xfId="0" applyFont="1" applyFill="1" applyAlignment="1">
      <alignment horizontal="center" vertical="center" wrapText="1"/>
    </xf>
    <xf numFmtId="0" fontId="1" fillId="21" borderId="4" xfId="0" applyFont="1" applyFill="1" applyBorder="1" applyAlignment="1">
      <alignment horizontal="center" vertical="center" wrapText="1"/>
    </xf>
    <xf numFmtId="0" fontId="1" fillId="21" borderId="6" xfId="0" applyFont="1" applyFill="1" applyBorder="1" applyAlignment="1">
      <alignment horizontal="center" vertical="center" wrapText="1"/>
    </xf>
    <xf numFmtId="0" fontId="1" fillId="21" borderId="5" xfId="0" applyFont="1" applyFill="1" applyBorder="1" applyAlignment="1">
      <alignment horizontal="center" vertical="center" wrapText="1"/>
    </xf>
  </cellXfs>
  <cellStyles count="5">
    <cellStyle name="Insatisfaisant" xfId="2" builtinId="27"/>
    <cellStyle name="Lien hypertexte" xfId="4" builtinId="8"/>
    <cellStyle name="Neutre" xfId="3" builtinId="28"/>
    <cellStyle name="Normal" xfId="0" builtinId="0"/>
    <cellStyle name="Satisfaisant" xfId="1" builtinId="26"/>
  </cellStyles>
  <dxfs count="13">
    <dxf>
      <fill>
        <patternFill>
          <bgColor theme="9" tint="0.59996337778862885"/>
        </patternFill>
      </fill>
    </dxf>
    <dxf>
      <fill>
        <patternFill>
          <bgColor rgb="FFFBADAB"/>
        </patternFill>
      </fill>
    </dxf>
    <dxf>
      <fill>
        <patternFill>
          <bgColor rgb="FFFBADAB"/>
        </patternFill>
      </fill>
    </dxf>
    <dxf>
      <fill>
        <patternFill>
          <bgColor theme="9" tint="0.59996337778862885"/>
        </patternFill>
      </fill>
    </dxf>
    <dxf>
      <fill>
        <patternFill>
          <bgColor rgb="FFFBADAB"/>
        </patternFill>
      </fill>
    </dxf>
    <dxf>
      <fill>
        <patternFill>
          <bgColor theme="9" tint="0.59996337778862885"/>
        </patternFill>
      </fill>
    </dxf>
    <dxf>
      <fill>
        <patternFill>
          <bgColor theme="9" tint="0.59996337778862885"/>
        </patternFill>
      </fill>
    </dxf>
    <dxf>
      <fill>
        <patternFill>
          <bgColor rgb="FFFBADAB"/>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BADAB"/>
        </patternFill>
      </fill>
    </dxf>
  </dxfs>
  <tableStyles count="0" defaultTableStyle="TableStyleMedium2" defaultPivotStyle="PivotStyleLight16"/>
  <colors>
    <mruColors>
      <color rgb="FFFBAD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2.png"/><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25</xdr:row>
      <xdr:rowOff>13447</xdr:rowOff>
    </xdr:from>
    <xdr:to>
      <xdr:col>3</xdr:col>
      <xdr:colOff>1</xdr:colOff>
      <xdr:row>28</xdr:row>
      <xdr:rowOff>20955</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6" y="5033122"/>
          <a:ext cx="1524000" cy="586628"/>
        </a:xfrm>
        <a:prstGeom prst="rect">
          <a:avLst/>
        </a:prstGeom>
      </xdr:spPr>
    </xdr:pic>
    <xdr:clientData/>
  </xdr:twoCellAnchor>
  <xdr:twoCellAnchor editAs="oneCell">
    <xdr:from>
      <xdr:col>4</xdr:col>
      <xdr:colOff>6830</xdr:colOff>
      <xdr:row>9</xdr:row>
      <xdr:rowOff>47625</xdr:rowOff>
    </xdr:from>
    <xdr:to>
      <xdr:col>7</xdr:col>
      <xdr:colOff>1196340</xdr:colOff>
      <xdr:row>24</xdr:row>
      <xdr:rowOff>18516</xdr:rowOff>
    </xdr:to>
    <xdr:pic macro="[0]!Introduction_Français">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92930" y="1975485"/>
          <a:ext cx="4885210" cy="2853156"/>
        </a:xfrm>
        <a:prstGeom prst="rect">
          <a:avLst/>
        </a:prstGeom>
      </xdr:spPr>
    </xdr:pic>
    <xdr:clientData/>
  </xdr:twoCellAnchor>
  <xdr:twoCellAnchor editAs="oneCell">
    <xdr:from>
      <xdr:col>8</xdr:col>
      <xdr:colOff>37197</xdr:colOff>
      <xdr:row>9</xdr:row>
      <xdr:rowOff>47626</xdr:rowOff>
    </xdr:from>
    <xdr:to>
      <xdr:col>12</xdr:col>
      <xdr:colOff>1510</xdr:colOff>
      <xdr:row>24</xdr:row>
      <xdr:rowOff>17145</xdr:rowOff>
    </xdr:to>
    <xdr:pic macro="[0]!Introduction_Anglais">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061057" y="1975486"/>
          <a:ext cx="4898263" cy="2855594"/>
        </a:xfrm>
        <a:prstGeom prst="rect">
          <a:avLst/>
        </a:prstGeom>
      </xdr:spPr>
    </xdr:pic>
    <xdr:clientData/>
  </xdr:twoCellAnchor>
  <xdr:twoCellAnchor editAs="oneCell">
    <xdr:from>
      <xdr:col>1</xdr:col>
      <xdr:colOff>552450</xdr:colOff>
      <xdr:row>1</xdr:row>
      <xdr:rowOff>131445</xdr:rowOff>
    </xdr:from>
    <xdr:to>
      <xdr:col>2</xdr:col>
      <xdr:colOff>282352</xdr:colOff>
      <xdr:row>24</xdr:row>
      <xdr:rowOff>64770</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83970" y="443865"/>
          <a:ext cx="514762" cy="44215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25</xdr:row>
      <xdr:rowOff>13447</xdr:rowOff>
    </xdr:from>
    <xdr:to>
      <xdr:col>3</xdr:col>
      <xdr:colOff>1</xdr:colOff>
      <xdr:row>28</xdr:row>
      <xdr:rowOff>28575</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1" y="4966447"/>
          <a:ext cx="1524000" cy="586628"/>
        </a:xfrm>
        <a:prstGeom prst="rect">
          <a:avLst/>
        </a:prstGeom>
      </xdr:spPr>
    </xdr:pic>
    <xdr:clientData/>
  </xdr:twoCellAnchor>
  <xdr:twoCellAnchor editAs="oneCell">
    <xdr:from>
      <xdr:col>1</xdr:col>
      <xdr:colOff>556261</xdr:colOff>
      <xdr:row>1</xdr:row>
      <xdr:rowOff>125730</xdr:rowOff>
    </xdr:from>
    <xdr:to>
      <xdr:col>2</xdr:col>
      <xdr:colOff>280448</xdr:colOff>
      <xdr:row>24</xdr:row>
      <xdr:rowOff>49530</xdr:rowOff>
    </xdr:to>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87781" y="438150"/>
          <a:ext cx="509047" cy="44119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845820</xdr:colOff>
          <xdr:row>4</xdr:row>
          <xdr:rowOff>7620</xdr:rowOff>
        </xdr:from>
        <xdr:to>
          <xdr:col>13</xdr:col>
          <xdr:colOff>0</xdr:colOff>
          <xdr:row>10</xdr:row>
          <xdr:rowOff>30480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1" u="none" strike="noStrike" baseline="0">
                  <a:solidFill>
                    <a:srgbClr val="FF0000"/>
                  </a:solidFill>
                  <a:latin typeface="Calibri"/>
                  <a:ea typeface="Calibri"/>
                  <a:cs typeface="Calibri"/>
                </a:rPr>
                <a:t>Création du programme</a:t>
              </a:r>
            </a:p>
          </xdr:txBody>
        </xdr:sp>
        <xdr:clientData fPrintsWithSheet="0"/>
      </xdr:twoCellAnchor>
    </mc:Choice>
    <mc:Fallback/>
  </mc:AlternateContent>
  <xdr:twoCellAnchor editAs="oneCell">
    <xdr:from>
      <xdr:col>1</xdr:col>
      <xdr:colOff>0</xdr:colOff>
      <xdr:row>1</xdr:row>
      <xdr:rowOff>0</xdr:rowOff>
    </xdr:from>
    <xdr:to>
      <xdr:col>2</xdr:col>
      <xdr:colOff>562529</xdr:colOff>
      <xdr:row>3</xdr:row>
      <xdr:rowOff>0</xdr:rowOff>
    </xdr:to>
    <xdr:pic>
      <xdr:nvPicPr>
        <xdr:cNvPr id="3" name="Image 2">
          <a:extLst>
            <a:ext uri="{FF2B5EF4-FFF2-40B4-BE49-F238E27FC236}">
              <a16:creationId xmlns:a16="http://schemas.microsoft.com/office/drawing/2014/main" id="{60316A9B-228B-43B5-9CB3-897972B20A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314325"/>
          <a:ext cx="1105454" cy="4286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1118789</xdr:colOff>
      <xdr:row>2</xdr:row>
      <xdr:rowOff>209550</xdr:rowOff>
    </xdr:to>
    <xdr:pic>
      <xdr:nvPicPr>
        <xdr:cNvPr id="2" name="Image 1">
          <a:extLst>
            <a:ext uri="{FF2B5EF4-FFF2-40B4-BE49-F238E27FC236}">
              <a16:creationId xmlns:a16="http://schemas.microsoft.com/office/drawing/2014/main" id="{0A49DEC5-F2E5-4085-ADC0-C2607F723F7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1520" y="312420"/>
          <a:ext cx="1118789" cy="42291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661589</xdr:colOff>
      <xdr:row>3</xdr:row>
      <xdr:rowOff>0</xdr:rowOff>
    </xdr:to>
    <xdr:pic>
      <xdr:nvPicPr>
        <xdr:cNvPr id="2" name="Image 1">
          <a:extLst>
            <a:ext uri="{FF2B5EF4-FFF2-40B4-BE49-F238E27FC236}">
              <a16:creationId xmlns:a16="http://schemas.microsoft.com/office/drawing/2014/main" id="{E737EC89-B7AE-439F-89CB-52D83FC99A3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1520" y="312420"/>
          <a:ext cx="1118789" cy="4229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83030</xdr:colOff>
      <xdr:row>4</xdr:row>
      <xdr:rowOff>92512</xdr:rowOff>
    </xdr:from>
    <xdr:to>
      <xdr:col>5</xdr:col>
      <xdr:colOff>257175</xdr:colOff>
      <xdr:row>4</xdr:row>
      <xdr:rowOff>916469</xdr:rowOff>
    </xdr:to>
    <xdr:pic>
      <xdr:nvPicPr>
        <xdr:cNvPr id="4" name="Imag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83705" y="2464237"/>
          <a:ext cx="1374295" cy="823957"/>
        </a:xfrm>
        <a:prstGeom prst="rect">
          <a:avLst/>
        </a:prstGeom>
      </xdr:spPr>
    </xdr:pic>
    <xdr:clientData/>
  </xdr:twoCellAnchor>
  <xdr:twoCellAnchor editAs="oneCell">
    <xdr:from>
      <xdr:col>8</xdr:col>
      <xdr:colOff>94348</xdr:colOff>
      <xdr:row>4</xdr:row>
      <xdr:rowOff>106371</xdr:rowOff>
    </xdr:from>
    <xdr:to>
      <xdr:col>9</xdr:col>
      <xdr:colOff>257175</xdr:colOff>
      <xdr:row>4</xdr:row>
      <xdr:rowOff>925748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295623" y="2478096"/>
          <a:ext cx="1362977" cy="819377"/>
        </a:xfrm>
        <a:prstGeom prst="rect">
          <a:avLst/>
        </a:prstGeom>
      </xdr:spPr>
    </xdr:pic>
    <xdr:clientData/>
  </xdr:twoCellAnchor>
  <xdr:twoCellAnchor editAs="oneCell">
    <xdr:from>
      <xdr:col>12</xdr:col>
      <xdr:colOff>0</xdr:colOff>
      <xdr:row>8</xdr:row>
      <xdr:rowOff>0</xdr:rowOff>
    </xdr:from>
    <xdr:to>
      <xdr:col>16</xdr:col>
      <xdr:colOff>57150</xdr:colOff>
      <xdr:row>11</xdr:row>
      <xdr:rowOff>571870</xdr:rowOff>
    </xdr:to>
    <xdr:pic>
      <xdr:nvPicPr>
        <xdr:cNvPr id="10" name="Image 9">
          <a:extLst>
            <a:ext uri="{FF2B5EF4-FFF2-40B4-BE49-F238E27FC236}">
              <a16:creationId xmlns:a16="http://schemas.microsoft.com/office/drawing/2014/main" id="{921C0A3C-5775-416D-93DC-E49D39083F1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01575" y="3705225"/>
          <a:ext cx="3695700" cy="231494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2</xdr:col>
      <xdr:colOff>333929</xdr:colOff>
      <xdr:row>2</xdr:row>
      <xdr:rowOff>209550</xdr:rowOff>
    </xdr:to>
    <xdr:pic>
      <xdr:nvPicPr>
        <xdr:cNvPr id="2" name="Image 1">
          <a:extLst>
            <a:ext uri="{FF2B5EF4-FFF2-40B4-BE49-F238E27FC236}">
              <a16:creationId xmlns:a16="http://schemas.microsoft.com/office/drawing/2014/main" id="{4CD241F7-5DF8-4BF5-B36D-E127A86361F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31520" y="312420"/>
          <a:ext cx="1118789" cy="42291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11</xdr:col>
      <xdr:colOff>0</xdr:colOff>
      <xdr:row>18</xdr:row>
      <xdr:rowOff>111698</xdr:rowOff>
    </xdr:to>
    <xdr:pic>
      <xdr:nvPicPr>
        <xdr:cNvPr id="14" name="Imag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a:stretch>
          <a:fillRect/>
        </a:stretch>
      </xdr:blipFill>
      <xdr:spPr>
        <a:xfrm>
          <a:off x="714375" y="942975"/>
          <a:ext cx="9144000" cy="2778698"/>
        </a:xfrm>
        <a:prstGeom prst="rect">
          <a:avLst/>
        </a:prstGeom>
      </xdr:spPr>
    </xdr:pic>
    <xdr:clientData/>
  </xdr:twoCellAnchor>
  <xdr:twoCellAnchor editAs="oneCell">
    <xdr:from>
      <xdr:col>1</xdr:col>
      <xdr:colOff>0</xdr:colOff>
      <xdr:row>1</xdr:row>
      <xdr:rowOff>0</xdr:rowOff>
    </xdr:from>
    <xdr:to>
      <xdr:col>2</xdr:col>
      <xdr:colOff>333929</xdr:colOff>
      <xdr:row>2</xdr:row>
      <xdr:rowOff>209550</xdr:rowOff>
    </xdr:to>
    <xdr:pic>
      <xdr:nvPicPr>
        <xdr:cNvPr id="2" name="Image 1">
          <a:extLst>
            <a:ext uri="{FF2B5EF4-FFF2-40B4-BE49-F238E27FC236}">
              <a16:creationId xmlns:a16="http://schemas.microsoft.com/office/drawing/2014/main" id="{C2667955-3A01-4A83-87D6-416A3A690C8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1520" y="312420"/>
          <a:ext cx="1118789" cy="42291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orkout-temple.com/en/one-rep-max-calculators/"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7"/>
  <dimension ref="B1:L33"/>
  <sheetViews>
    <sheetView zoomScaleNormal="100" workbookViewId="0">
      <selection activeCell="G2" sqref="G2"/>
    </sheetView>
  </sheetViews>
  <sheetFormatPr baseColWidth="10" defaultColWidth="11.44140625" defaultRowHeight="14.4" x14ac:dyDescent="0.3"/>
  <cols>
    <col min="1" max="1" width="10.6640625" style="1" customWidth="1"/>
    <col min="2" max="4" width="11.44140625" style="1"/>
    <col min="5" max="13" width="18" style="1" customWidth="1"/>
    <col min="14" max="17" width="9.33203125" style="1" customWidth="1"/>
    <col min="18" max="16384" width="11.44140625" style="1"/>
  </cols>
  <sheetData>
    <row r="1" spans="2:12" ht="24.9" customHeight="1" x14ac:dyDescent="0.3"/>
    <row r="2" spans="2:12" ht="17.25" customHeight="1" x14ac:dyDescent="0.3">
      <c r="B2" s="2"/>
      <c r="C2" s="2"/>
      <c r="E2" s="1" t="s">
        <v>253</v>
      </c>
      <c r="H2" s="26" t="s">
        <v>174</v>
      </c>
      <c r="I2" s="26"/>
    </row>
    <row r="3" spans="2:12" ht="17.25" customHeight="1" x14ac:dyDescent="0.3">
      <c r="B3" s="2"/>
      <c r="C3" s="2"/>
      <c r="H3" s="26"/>
      <c r="I3" s="26"/>
    </row>
    <row r="4" spans="2:12" ht="17.25" customHeight="1" x14ac:dyDescent="0.3">
      <c r="B4" s="2"/>
      <c r="C4" s="2"/>
      <c r="H4" s="26"/>
      <c r="I4" s="26"/>
    </row>
    <row r="5" spans="2:12" ht="17.25" customHeight="1" x14ac:dyDescent="0.3">
      <c r="B5" s="2"/>
      <c r="C5" s="2"/>
    </row>
    <row r="6" spans="2:12" ht="15" customHeight="1" x14ac:dyDescent="0.3">
      <c r="B6" s="2"/>
      <c r="C6" s="2"/>
    </row>
    <row r="7" spans="2:12" ht="15" customHeight="1" x14ac:dyDescent="0.3">
      <c r="B7" s="2"/>
      <c r="C7" s="2"/>
      <c r="E7" s="25" t="s">
        <v>119</v>
      </c>
      <c r="F7" s="25"/>
      <c r="G7" s="25"/>
      <c r="H7" s="25"/>
      <c r="I7" s="25" t="s">
        <v>118</v>
      </c>
      <c r="J7" s="25"/>
      <c r="K7" s="25"/>
      <c r="L7" s="25"/>
    </row>
    <row r="8" spans="2:12" ht="15" customHeight="1" x14ac:dyDescent="0.3">
      <c r="B8" s="2"/>
      <c r="C8" s="2"/>
      <c r="E8" s="25"/>
      <c r="F8" s="25"/>
      <c r="G8" s="25"/>
      <c r="H8" s="25"/>
      <c r="I8" s="25"/>
      <c r="J8" s="25"/>
      <c r="K8" s="25"/>
      <c r="L8" s="25"/>
    </row>
    <row r="9" spans="2:12" ht="15" customHeight="1" x14ac:dyDescent="0.3">
      <c r="B9" s="2"/>
      <c r="C9" s="2"/>
      <c r="E9" s="25"/>
      <c r="F9" s="25"/>
      <c r="G9" s="25"/>
      <c r="H9" s="25"/>
      <c r="I9" s="25"/>
      <c r="J9" s="25"/>
      <c r="K9" s="25"/>
      <c r="L9" s="25"/>
    </row>
    <row r="10" spans="2:12" ht="15" customHeight="1" x14ac:dyDescent="0.3">
      <c r="B10" s="2"/>
      <c r="C10" s="2"/>
      <c r="D10" s="1" t="s">
        <v>173</v>
      </c>
      <c r="E10" s="11"/>
      <c r="F10" s="11"/>
      <c r="G10" s="11"/>
      <c r="H10" s="11"/>
      <c r="I10" s="11"/>
      <c r="J10" s="11"/>
      <c r="K10" s="11"/>
      <c r="L10" s="11"/>
    </row>
    <row r="11" spans="2:12" ht="15" customHeight="1" x14ac:dyDescent="0.3">
      <c r="B11" s="2"/>
      <c r="C11" s="2"/>
      <c r="E11" s="11"/>
      <c r="F11" s="11"/>
      <c r="G11" s="11"/>
      <c r="H11" s="11"/>
      <c r="I11" s="11"/>
      <c r="J11" s="11"/>
      <c r="K11" s="11"/>
      <c r="L11" s="11"/>
    </row>
    <row r="12" spans="2:12" ht="15" customHeight="1" x14ac:dyDescent="0.3">
      <c r="B12" s="2"/>
      <c r="C12" s="2"/>
      <c r="E12" s="11"/>
      <c r="F12" s="11"/>
      <c r="G12" s="11"/>
      <c r="H12" s="11"/>
      <c r="I12" s="11"/>
      <c r="J12" s="11"/>
      <c r="K12" s="11"/>
      <c r="L12" s="11"/>
    </row>
    <row r="13" spans="2:12" ht="15" customHeight="1" x14ac:dyDescent="0.3">
      <c r="B13" s="2"/>
      <c r="C13" s="2"/>
      <c r="E13" s="11"/>
      <c r="F13" s="11"/>
      <c r="G13" s="11"/>
      <c r="H13" s="11"/>
      <c r="I13" s="11"/>
      <c r="J13" s="11"/>
      <c r="K13" s="11"/>
      <c r="L13" s="11"/>
    </row>
    <row r="14" spans="2:12" ht="15" customHeight="1" x14ac:dyDescent="0.3">
      <c r="B14" s="2"/>
      <c r="C14" s="2"/>
      <c r="E14" s="11"/>
      <c r="F14" s="11"/>
      <c r="G14" s="11"/>
      <c r="H14" s="11"/>
      <c r="I14" s="11"/>
      <c r="J14" s="11"/>
      <c r="K14" s="11"/>
      <c r="L14" s="11"/>
    </row>
    <row r="15" spans="2:12" ht="15.75" customHeight="1" x14ac:dyDescent="0.3">
      <c r="B15" s="2"/>
      <c r="C15" s="2"/>
      <c r="E15" s="11"/>
      <c r="F15" s="11"/>
      <c r="G15" s="11"/>
      <c r="H15" s="11"/>
      <c r="I15" s="11"/>
      <c r="J15" s="11"/>
      <c r="K15" s="11"/>
      <c r="L15" s="11"/>
    </row>
    <row r="16" spans="2:12" ht="15" customHeight="1" x14ac:dyDescent="0.3">
      <c r="B16" s="2"/>
      <c r="C16" s="2"/>
      <c r="E16" s="11"/>
      <c r="F16" s="11"/>
      <c r="G16" s="11"/>
      <c r="H16" s="11"/>
      <c r="I16" s="11"/>
      <c r="J16" s="11"/>
      <c r="K16" s="11"/>
      <c r="L16" s="11"/>
    </row>
    <row r="17" spans="2:12" ht="15" customHeight="1" x14ac:dyDescent="0.3">
      <c r="B17" s="2"/>
      <c r="C17" s="2"/>
      <c r="E17" s="11"/>
      <c r="F17" s="11"/>
      <c r="G17" s="11"/>
      <c r="H17" s="11"/>
      <c r="I17" s="11"/>
      <c r="J17" s="11"/>
      <c r="K17" s="11"/>
      <c r="L17" s="11"/>
    </row>
    <row r="18" spans="2:12" ht="15" customHeight="1" x14ac:dyDescent="0.3">
      <c r="B18" s="2"/>
      <c r="C18" s="2"/>
      <c r="E18" s="11"/>
      <c r="F18" s="11"/>
      <c r="G18" s="11"/>
      <c r="H18" s="11"/>
      <c r="I18" s="11"/>
      <c r="J18" s="11"/>
      <c r="K18" s="11"/>
      <c r="L18" s="11"/>
    </row>
    <row r="19" spans="2:12" ht="15" customHeight="1" x14ac:dyDescent="0.3">
      <c r="B19" s="2"/>
      <c r="C19" s="2"/>
      <c r="E19" s="11"/>
      <c r="F19" s="11"/>
      <c r="G19" s="11"/>
      <c r="H19" s="11"/>
      <c r="I19" s="11"/>
      <c r="J19" s="11"/>
      <c r="K19" s="11"/>
      <c r="L19" s="11"/>
    </row>
    <row r="20" spans="2:12" ht="15" customHeight="1" x14ac:dyDescent="0.3">
      <c r="B20" s="2"/>
      <c r="C20" s="2"/>
      <c r="E20" s="11"/>
      <c r="F20" s="11"/>
      <c r="G20" s="11"/>
      <c r="H20" s="11"/>
      <c r="I20" s="11"/>
      <c r="J20" s="11"/>
      <c r="K20" s="11"/>
      <c r="L20" s="11"/>
    </row>
    <row r="21" spans="2:12" ht="15" customHeight="1" x14ac:dyDescent="0.3">
      <c r="B21" s="2"/>
      <c r="C21" s="2"/>
      <c r="E21" s="11"/>
      <c r="F21" s="11"/>
      <c r="G21" s="11"/>
      <c r="H21" s="11"/>
      <c r="I21" s="11"/>
      <c r="J21" s="11"/>
      <c r="K21" s="11"/>
      <c r="L21" s="11"/>
    </row>
    <row r="22" spans="2:12" ht="15" customHeight="1" x14ac:dyDescent="0.3">
      <c r="B22" s="2"/>
      <c r="C22" s="2"/>
      <c r="E22" s="11"/>
      <c r="F22" s="11"/>
      <c r="G22" s="11"/>
      <c r="H22" s="11"/>
      <c r="I22" s="11"/>
      <c r="J22" s="11"/>
      <c r="K22" s="11"/>
      <c r="L22" s="11"/>
    </row>
    <row r="23" spans="2:12" ht="15.75" customHeight="1" x14ac:dyDescent="0.3">
      <c r="B23" s="2"/>
      <c r="C23" s="2"/>
      <c r="E23" s="11"/>
      <c r="F23" s="11"/>
      <c r="G23" s="11"/>
      <c r="H23" s="11"/>
      <c r="I23" s="11"/>
      <c r="J23" s="11"/>
      <c r="K23" s="11"/>
      <c r="L23" s="11"/>
    </row>
    <row r="24" spans="2:12" ht="15" customHeight="1" x14ac:dyDescent="0.3">
      <c r="B24" s="2"/>
      <c r="C24" s="2"/>
      <c r="E24" s="11"/>
      <c r="F24" s="11"/>
      <c r="G24" s="11"/>
      <c r="H24" s="11"/>
      <c r="I24" s="11"/>
      <c r="J24" s="11"/>
      <c r="K24" s="11"/>
      <c r="L24" s="11"/>
    </row>
    <row r="25" spans="2:12" ht="15" customHeight="1" x14ac:dyDescent="0.3">
      <c r="B25" s="2"/>
      <c r="C25" s="2"/>
      <c r="E25" s="11"/>
      <c r="F25" s="11"/>
      <c r="G25" s="11"/>
      <c r="H25" s="11"/>
      <c r="I25" s="11"/>
      <c r="J25" s="11"/>
      <c r="K25" s="11"/>
      <c r="L25" s="11"/>
    </row>
    <row r="26" spans="2:12" ht="15" customHeight="1" x14ac:dyDescent="0.3">
      <c r="B26" s="2"/>
      <c r="C26" s="2"/>
    </row>
    <row r="27" spans="2:12" ht="15" customHeight="1" x14ac:dyDescent="0.3">
      <c r="B27" s="2"/>
      <c r="C27" s="2"/>
    </row>
    <row r="28" spans="2:12" ht="15" customHeight="1" x14ac:dyDescent="0.3">
      <c r="B28" s="2"/>
      <c r="C28" s="2"/>
    </row>
    <row r="29" spans="2:12" ht="15" customHeight="1" x14ac:dyDescent="0.3"/>
    <row r="30" spans="2:12" ht="15" customHeight="1" x14ac:dyDescent="0.3"/>
    <row r="31" spans="2:12" ht="15" customHeight="1" x14ac:dyDescent="0.3"/>
    <row r="32" spans="2:12" ht="15" customHeight="1" x14ac:dyDescent="0.3"/>
    <row r="33" ht="15" customHeight="1" x14ac:dyDescent="0.3"/>
  </sheetData>
  <mergeCells count="3">
    <mergeCell ref="E7:H9"/>
    <mergeCell ref="I7:L9"/>
    <mergeCell ref="H2:I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B1:F33"/>
  <sheetViews>
    <sheetView topLeftCell="D5" workbookViewId="0"/>
  </sheetViews>
  <sheetFormatPr baseColWidth="10" defaultColWidth="11.44140625" defaultRowHeight="14.4" x14ac:dyDescent="0.3"/>
  <cols>
    <col min="1" max="1" width="10.6640625" style="1" customWidth="1"/>
    <col min="2" max="4" width="11.44140625" style="1"/>
    <col min="5" max="5" width="57.44140625" style="1" customWidth="1"/>
    <col min="6" max="6" width="123.33203125" style="1" customWidth="1"/>
    <col min="7" max="16384" width="11.44140625" style="1"/>
  </cols>
  <sheetData>
    <row r="1" spans="2:6" ht="24.9" customHeight="1" thickBot="1" x14ac:dyDescent="0.35"/>
    <row r="2" spans="2:6" ht="17.25" customHeight="1" thickTop="1" x14ac:dyDescent="0.3">
      <c r="B2" s="2"/>
      <c r="C2" s="2"/>
      <c r="E2" s="27" t="s">
        <v>220</v>
      </c>
      <c r="F2" s="27"/>
    </row>
    <row r="3" spans="2:6" ht="17.25" customHeight="1" thickBot="1" x14ac:dyDescent="0.35">
      <c r="B3" s="2"/>
      <c r="C3" s="2"/>
      <c r="E3" s="28"/>
      <c r="F3" s="28"/>
    </row>
    <row r="4" spans="2:6" ht="17.25" customHeight="1" thickTop="1" x14ac:dyDescent="0.3">
      <c r="B4" s="2"/>
      <c r="C4" s="2"/>
    </row>
    <row r="5" spans="2:6" ht="17.25" customHeight="1" thickBot="1" x14ac:dyDescent="0.35">
      <c r="B5" s="2"/>
      <c r="C5" s="2"/>
    </row>
    <row r="6" spans="2:6" ht="15" customHeight="1" thickTop="1" x14ac:dyDescent="0.3">
      <c r="B6" s="2"/>
      <c r="C6" s="2"/>
      <c r="E6" s="29" t="s">
        <v>221</v>
      </c>
      <c r="F6" s="29"/>
    </row>
    <row r="7" spans="2:6" ht="15" customHeight="1" x14ac:dyDescent="0.3">
      <c r="B7" s="2"/>
      <c r="C7" s="2"/>
      <c r="E7" s="33"/>
      <c r="F7" s="33"/>
    </row>
    <row r="8" spans="2:6" ht="15" customHeight="1" x14ac:dyDescent="0.3">
      <c r="B8" s="2"/>
      <c r="C8" s="2"/>
      <c r="E8" s="33"/>
      <c r="F8" s="33"/>
    </row>
    <row r="9" spans="2:6" ht="15" customHeight="1" x14ac:dyDescent="0.3">
      <c r="B9" s="2"/>
      <c r="C9" s="2"/>
      <c r="E9" s="33"/>
      <c r="F9" s="33"/>
    </row>
    <row r="10" spans="2:6" ht="15" customHeight="1" x14ac:dyDescent="0.3">
      <c r="B10" s="2"/>
      <c r="C10" s="2"/>
      <c r="E10" s="33"/>
      <c r="F10" s="33"/>
    </row>
    <row r="11" spans="2:6" ht="15" customHeight="1" x14ac:dyDescent="0.3">
      <c r="B11" s="2"/>
      <c r="C11" s="2"/>
      <c r="E11" s="33"/>
      <c r="F11" s="33"/>
    </row>
    <row r="12" spans="2:6" ht="15" customHeight="1" x14ac:dyDescent="0.3">
      <c r="B12" s="2"/>
      <c r="C12" s="2"/>
      <c r="E12" s="33"/>
      <c r="F12" s="33"/>
    </row>
    <row r="13" spans="2:6" ht="15" customHeight="1" x14ac:dyDescent="0.3">
      <c r="B13" s="2"/>
      <c r="C13" s="2"/>
      <c r="E13" s="33"/>
      <c r="F13" s="33"/>
    </row>
    <row r="14" spans="2:6" ht="15" customHeight="1" x14ac:dyDescent="0.3">
      <c r="B14" s="2"/>
      <c r="C14" s="2"/>
      <c r="E14" s="33"/>
      <c r="F14" s="33"/>
    </row>
    <row r="15" spans="2:6" ht="15.75" customHeight="1" x14ac:dyDescent="0.3">
      <c r="B15" s="2"/>
      <c r="C15" s="2"/>
      <c r="E15" s="33"/>
      <c r="F15" s="33"/>
    </row>
    <row r="16" spans="2:6" ht="15" customHeight="1" x14ac:dyDescent="0.3">
      <c r="B16" s="2"/>
      <c r="C16" s="2"/>
      <c r="E16" s="31" t="s">
        <v>222</v>
      </c>
      <c r="F16" s="31"/>
    </row>
    <row r="17" spans="2:6" ht="15" customHeight="1" x14ac:dyDescent="0.3">
      <c r="B17" s="2"/>
      <c r="C17" s="2"/>
      <c r="E17" s="31"/>
      <c r="F17" s="31"/>
    </row>
    <row r="18" spans="2:6" ht="15" customHeight="1" x14ac:dyDescent="0.3">
      <c r="B18" s="2"/>
      <c r="C18" s="2"/>
      <c r="E18" s="31"/>
      <c r="F18" s="31"/>
    </row>
    <row r="19" spans="2:6" ht="15" customHeight="1" x14ac:dyDescent="0.3">
      <c r="B19" s="2"/>
      <c r="C19" s="2"/>
    </row>
    <row r="20" spans="2:6" ht="15" customHeight="1" thickBot="1" x14ac:dyDescent="0.35">
      <c r="B20" s="2"/>
      <c r="C20" s="2"/>
    </row>
    <row r="21" spans="2:6" ht="15" customHeight="1" thickTop="1" x14ac:dyDescent="0.3">
      <c r="B21" s="2"/>
      <c r="C21" s="2"/>
      <c r="E21" s="29" t="s">
        <v>223</v>
      </c>
      <c r="F21" s="30"/>
    </row>
    <row r="22" spans="2:6" ht="15" customHeight="1" x14ac:dyDescent="0.3">
      <c r="B22" s="2"/>
      <c r="C22" s="2"/>
      <c r="E22" s="31"/>
      <c r="F22" s="31"/>
    </row>
    <row r="23" spans="2:6" ht="15.75" customHeight="1" x14ac:dyDescent="0.3">
      <c r="B23" s="2"/>
      <c r="C23" s="2"/>
      <c r="E23" s="31"/>
      <c r="F23" s="31"/>
    </row>
    <row r="24" spans="2:6" ht="15" customHeight="1" x14ac:dyDescent="0.3">
      <c r="B24" s="2"/>
      <c r="C24" s="2"/>
      <c r="E24" s="31"/>
      <c r="F24" s="31"/>
    </row>
    <row r="25" spans="2:6" ht="15" customHeight="1" x14ac:dyDescent="0.3">
      <c r="B25" s="2"/>
      <c r="C25" s="2"/>
      <c r="E25" s="32" t="s">
        <v>115</v>
      </c>
      <c r="F25" s="32"/>
    </row>
    <row r="26" spans="2:6" ht="15" customHeight="1" x14ac:dyDescent="0.3">
      <c r="B26" s="2"/>
      <c r="C26" s="2"/>
      <c r="E26" s="31" t="s">
        <v>224</v>
      </c>
      <c r="F26" s="31"/>
    </row>
    <row r="27" spans="2:6" ht="15" customHeight="1" x14ac:dyDescent="0.3">
      <c r="B27" s="2"/>
      <c r="C27" s="2"/>
      <c r="E27" s="31"/>
      <c r="F27" s="31"/>
    </row>
    <row r="28" spans="2:6" ht="15" customHeight="1" x14ac:dyDescent="0.3">
      <c r="B28" s="2"/>
      <c r="C28" s="2"/>
      <c r="E28" s="31"/>
      <c r="F28" s="31"/>
    </row>
    <row r="29" spans="2:6" ht="15" customHeight="1" x14ac:dyDescent="0.3"/>
    <row r="30" spans="2:6" ht="15" customHeight="1" x14ac:dyDescent="0.3"/>
    <row r="31" spans="2:6" ht="15" customHeight="1" x14ac:dyDescent="0.3"/>
    <row r="32" spans="2:6" ht="15" customHeight="1" x14ac:dyDescent="0.3"/>
    <row r="33" ht="15" customHeight="1" x14ac:dyDescent="0.3"/>
  </sheetData>
  <mergeCells count="6">
    <mergeCell ref="E2:F3"/>
    <mergeCell ref="E21:F24"/>
    <mergeCell ref="E26:F28"/>
    <mergeCell ref="E25:F25"/>
    <mergeCell ref="E6:F15"/>
    <mergeCell ref="E16:F18"/>
  </mergeCells>
  <hyperlinks>
    <hyperlink ref="E25" r:id="rId1" xr:uid="{00000000-0004-0000-0100-000000000000}"/>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dimension ref="B1:M33"/>
  <sheetViews>
    <sheetView tabSelected="1" topLeftCell="A3" zoomScale="80" zoomScaleNormal="80" workbookViewId="0">
      <selection activeCell="G32" sqref="G32"/>
    </sheetView>
  </sheetViews>
  <sheetFormatPr baseColWidth="10" defaultColWidth="11.44140625" defaultRowHeight="14.4" x14ac:dyDescent="0.3"/>
  <cols>
    <col min="1" max="1" width="10.6640625" style="1" customWidth="1"/>
    <col min="2" max="2" width="8.109375" style="1" bestFit="1" customWidth="1"/>
    <col min="3" max="3" width="26.109375" style="1" customWidth="1"/>
    <col min="4" max="4" width="16.44140625" style="1" bestFit="1" customWidth="1"/>
    <col min="5" max="5" width="11.44140625" style="1" customWidth="1"/>
    <col min="6" max="6" width="11.5546875" style="1" bestFit="1" customWidth="1"/>
    <col min="7" max="7" width="14.33203125" style="1" bestFit="1" customWidth="1"/>
    <col min="8" max="8" width="14.5546875" style="1" bestFit="1" customWidth="1"/>
    <col min="9" max="16384" width="11.44140625" style="1"/>
  </cols>
  <sheetData>
    <row r="1" spans="2:13" ht="25.05" customHeight="1" x14ac:dyDescent="0.3"/>
    <row r="2" spans="2:13" ht="17.25" customHeight="1" x14ac:dyDescent="0.3">
      <c r="B2" s="1" t="s">
        <v>121</v>
      </c>
      <c r="D2" s="40" t="s">
        <v>121</v>
      </c>
      <c r="E2" s="40"/>
      <c r="F2" s="40"/>
      <c r="G2" s="40"/>
      <c r="H2" s="40"/>
      <c r="I2" s="40"/>
      <c r="J2" s="40"/>
      <c r="K2" s="40"/>
      <c r="L2" s="40"/>
      <c r="M2" s="40"/>
    </row>
    <row r="3" spans="2:13" ht="17.25" customHeight="1" x14ac:dyDescent="0.3">
      <c r="D3" s="40"/>
      <c r="E3" s="40"/>
      <c r="F3" s="40"/>
      <c r="G3" s="40"/>
      <c r="H3" s="40"/>
      <c r="I3" s="40"/>
      <c r="J3" s="40"/>
      <c r="K3" s="40"/>
      <c r="L3" s="40"/>
      <c r="M3" s="40"/>
    </row>
    <row r="4" spans="2:13" ht="15" customHeight="1" x14ac:dyDescent="0.3"/>
    <row r="5" spans="2:13" ht="15" customHeight="1" x14ac:dyDescent="0.3">
      <c r="B5" s="34" t="s">
        <v>225</v>
      </c>
      <c r="C5" s="34"/>
      <c r="D5" s="34"/>
    </row>
    <row r="6" spans="2:13" ht="15" customHeight="1" x14ac:dyDescent="0.3">
      <c r="B6" s="34"/>
      <c r="C6" s="34"/>
      <c r="D6" s="34"/>
    </row>
    <row r="7" spans="2:13" ht="15" customHeight="1" x14ac:dyDescent="0.3">
      <c r="B7" s="34"/>
      <c r="C7" s="34"/>
      <c r="D7" s="34"/>
    </row>
    <row r="8" spans="2:13" ht="15" customHeight="1" x14ac:dyDescent="0.3">
      <c r="B8" s="37" t="s">
        <v>182</v>
      </c>
      <c r="C8" s="37"/>
      <c r="D8" s="13" t="s">
        <v>123</v>
      </c>
    </row>
    <row r="9" spans="2:13" ht="15" customHeight="1" x14ac:dyDescent="0.3">
      <c r="B9" s="37" t="s">
        <v>183</v>
      </c>
      <c r="C9" s="37"/>
      <c r="D9" s="13">
        <v>65</v>
      </c>
    </row>
    <row r="10" spans="2:13" ht="15" customHeight="1" x14ac:dyDescent="0.3"/>
    <row r="11" spans="2:13" ht="15" customHeight="1" x14ac:dyDescent="0.3">
      <c r="B11" s="34" t="s">
        <v>184</v>
      </c>
      <c r="C11" s="34"/>
      <c r="D11" s="34"/>
    </row>
    <row r="12" spans="2:13" ht="15" customHeight="1" x14ac:dyDescent="0.3">
      <c r="B12" s="34"/>
      <c r="C12" s="34"/>
      <c r="D12" s="34"/>
    </row>
    <row r="13" spans="2:13" ht="15" customHeight="1" x14ac:dyDescent="0.3">
      <c r="B13" s="34"/>
      <c r="C13" s="34"/>
      <c r="D13" s="34"/>
    </row>
    <row r="14" spans="2:13" ht="15" customHeight="1" x14ac:dyDescent="0.3">
      <c r="B14" s="37" t="s">
        <v>185</v>
      </c>
      <c r="C14" s="37"/>
      <c r="D14" s="13">
        <v>3</v>
      </c>
    </row>
    <row r="15" spans="2:13" ht="15" customHeight="1" x14ac:dyDescent="0.3">
      <c r="B15" s="37" t="s">
        <v>186</v>
      </c>
      <c r="C15" s="37"/>
      <c r="D15" s="13">
        <v>90</v>
      </c>
    </row>
    <row r="16" spans="2:13" ht="15" customHeight="1" x14ac:dyDescent="0.3"/>
    <row r="17" spans="2:6" ht="15" customHeight="1" x14ac:dyDescent="0.3">
      <c r="B17" s="34" t="s">
        <v>187</v>
      </c>
      <c r="C17" s="34"/>
      <c r="D17" s="34"/>
      <c r="E17" s="34" t="s">
        <v>188</v>
      </c>
      <c r="F17" s="34"/>
    </row>
    <row r="18" spans="2:6" ht="15" customHeight="1" x14ac:dyDescent="0.3">
      <c r="B18" s="34"/>
      <c r="C18" s="34"/>
      <c r="D18" s="34"/>
      <c r="E18" s="34"/>
      <c r="F18" s="34"/>
    </row>
    <row r="19" spans="2:6" ht="15" customHeight="1" x14ac:dyDescent="0.3">
      <c r="B19" s="34"/>
      <c r="C19" s="34"/>
      <c r="D19" s="34"/>
      <c r="E19" s="34"/>
      <c r="F19" s="34"/>
    </row>
    <row r="20" spans="2:6" ht="15" customHeight="1" x14ac:dyDescent="0.3">
      <c r="B20" s="37" t="s">
        <v>117</v>
      </c>
      <c r="C20" s="37"/>
      <c r="D20" s="13">
        <v>0</v>
      </c>
      <c r="E20" s="37" t="s">
        <v>114</v>
      </c>
      <c r="F20" s="37" t="s">
        <v>92</v>
      </c>
    </row>
    <row r="21" spans="2:6" ht="15" customHeight="1" x14ac:dyDescent="0.3">
      <c r="B21" s="37" t="s">
        <v>116</v>
      </c>
      <c r="C21" s="37"/>
      <c r="D21" s="13">
        <v>25</v>
      </c>
      <c r="E21" s="37"/>
      <c r="F21" s="37"/>
    </row>
    <row r="22" spans="2:6" ht="15" customHeight="1" x14ac:dyDescent="0.3">
      <c r="B22" s="37" t="s">
        <v>112</v>
      </c>
      <c r="C22" s="37"/>
      <c r="D22" s="13">
        <v>35</v>
      </c>
      <c r="E22" s="39">
        <f>SUM(D20:D23)</f>
        <v>200</v>
      </c>
      <c r="F22" s="35">
        <f>IF(OR(D8="Male",D8="Homme"),100/RIS_Calculation!C27*'3.Inputs'!E22,IF(OR(D8="Female",D8="Femme"),100/(RIS_Calculation!D27)*'3.Inputs'!E22,""))</f>
        <v>83.451211204639222</v>
      </c>
    </row>
    <row r="23" spans="2:6" ht="15" customHeight="1" x14ac:dyDescent="0.3">
      <c r="B23" s="37" t="s">
        <v>113</v>
      </c>
      <c r="C23" s="37"/>
      <c r="D23" s="13">
        <v>140</v>
      </c>
      <c r="E23" s="39"/>
      <c r="F23" s="35"/>
    </row>
    <row r="24" spans="2:6" ht="15" customHeight="1" x14ac:dyDescent="0.3"/>
    <row r="25" spans="2:6" ht="15" customHeight="1" x14ac:dyDescent="0.3">
      <c r="B25" s="34" t="s">
        <v>189</v>
      </c>
      <c r="C25" s="34"/>
      <c r="D25" s="34"/>
      <c r="E25" s="34"/>
    </row>
    <row r="26" spans="2:6" ht="15" customHeight="1" x14ac:dyDescent="0.3">
      <c r="B26" s="34"/>
      <c r="C26" s="34"/>
      <c r="D26" s="34"/>
      <c r="E26" s="34"/>
    </row>
    <row r="27" spans="2:6" ht="15" customHeight="1" x14ac:dyDescent="0.3">
      <c r="B27" s="41" t="s">
        <v>120</v>
      </c>
      <c r="C27" s="41"/>
      <c r="D27" s="41" t="s">
        <v>190</v>
      </c>
      <c r="E27" s="41"/>
    </row>
    <row r="28" spans="2:6" ht="15" customHeight="1" x14ac:dyDescent="0.3">
      <c r="B28" s="12" t="s">
        <v>30</v>
      </c>
      <c r="C28" s="13" t="s">
        <v>140</v>
      </c>
      <c r="D28" s="36" t="s">
        <v>191</v>
      </c>
      <c r="E28" s="38" t="s">
        <v>130</v>
      </c>
    </row>
    <row r="29" spans="2:6" ht="15" customHeight="1" x14ac:dyDescent="0.3">
      <c r="B29" s="12" t="s">
        <v>31</v>
      </c>
      <c r="C29" s="13" t="s">
        <v>144</v>
      </c>
      <c r="D29" s="37"/>
      <c r="E29" s="38"/>
    </row>
    <row r="30" spans="2:6" ht="15" customHeight="1" x14ac:dyDescent="0.3">
      <c r="B30" s="12" t="s">
        <v>32</v>
      </c>
      <c r="C30" s="13" t="s">
        <v>148</v>
      </c>
      <c r="D30" s="36" t="s">
        <v>192</v>
      </c>
      <c r="E30" s="38" t="s">
        <v>126</v>
      </c>
    </row>
    <row r="31" spans="2:6" ht="15" customHeight="1" x14ac:dyDescent="0.3">
      <c r="B31" s="12" t="s">
        <v>33</v>
      </c>
      <c r="C31" s="13" t="s">
        <v>159</v>
      </c>
      <c r="D31" s="37"/>
      <c r="E31" s="38"/>
    </row>
    <row r="32" spans="2:6" ht="15" customHeight="1" x14ac:dyDescent="0.3"/>
    <row r="33" s="1" customFormat="1" ht="15" customHeight="1" x14ac:dyDescent="0.3"/>
  </sheetData>
  <dataConsolidate/>
  <mergeCells count="24">
    <mergeCell ref="D2:M3"/>
    <mergeCell ref="B22:C22"/>
    <mergeCell ref="B23:C23"/>
    <mergeCell ref="B25:E26"/>
    <mergeCell ref="B27:C27"/>
    <mergeCell ref="D27:E27"/>
    <mergeCell ref="B20:C20"/>
    <mergeCell ref="E20:E21"/>
    <mergeCell ref="F20:F21"/>
    <mergeCell ref="B15:C15"/>
    <mergeCell ref="B21:C21"/>
    <mergeCell ref="B9:C9"/>
    <mergeCell ref="B5:D7"/>
    <mergeCell ref="B11:D13"/>
    <mergeCell ref="B8:C8"/>
    <mergeCell ref="B14:C14"/>
    <mergeCell ref="B17:D19"/>
    <mergeCell ref="E17:F19"/>
    <mergeCell ref="F22:F23"/>
    <mergeCell ref="D28:D29"/>
    <mergeCell ref="D30:D31"/>
    <mergeCell ref="E28:E29"/>
    <mergeCell ref="E30:E31"/>
    <mergeCell ref="E22:E23"/>
  </mergeCells>
  <conditionalFormatting sqref="D8 D14:D15 D20:D23 E28">
    <cfRule type="containsBlanks" dxfId="12" priority="13">
      <formula>LEN(TRIM(D8))=0</formula>
    </cfRule>
  </conditionalFormatting>
  <conditionalFormatting sqref="D8 E28">
    <cfRule type="notContainsBlanks" dxfId="11" priority="12">
      <formula>LEN(TRIM(D8))&gt;0</formula>
    </cfRule>
  </conditionalFormatting>
  <conditionalFormatting sqref="D14">
    <cfRule type="notContainsBlanks" dxfId="10" priority="11">
      <formula>LEN(TRIM(D14))&gt;0</formula>
    </cfRule>
  </conditionalFormatting>
  <conditionalFormatting sqref="D15">
    <cfRule type="notContainsBlanks" dxfId="9" priority="10">
      <formula>LEN(TRIM(D15))&gt;0</formula>
    </cfRule>
  </conditionalFormatting>
  <conditionalFormatting sqref="D20:D23">
    <cfRule type="notContainsBlanks" dxfId="8" priority="9">
      <formula>LEN(TRIM(D20))&gt;0</formula>
    </cfRule>
  </conditionalFormatting>
  <conditionalFormatting sqref="C29:C31">
    <cfRule type="containsBlanks" dxfId="7" priority="8">
      <formula>LEN(TRIM(C29))=0</formula>
    </cfRule>
  </conditionalFormatting>
  <conditionalFormatting sqref="C29:C31">
    <cfRule type="notContainsBlanks" dxfId="6" priority="7">
      <formula>LEN(TRIM(C29))&gt;0</formula>
    </cfRule>
  </conditionalFormatting>
  <conditionalFormatting sqref="C28">
    <cfRule type="notContainsBlanks" dxfId="5" priority="5">
      <formula>LEN(TRIM(C28))&gt;0</formula>
    </cfRule>
  </conditionalFormatting>
  <conditionalFormatting sqref="C28">
    <cfRule type="containsBlanks" dxfId="4" priority="6">
      <formula>LEN(TRIM(C28))=0</formula>
    </cfRule>
  </conditionalFormatting>
  <conditionalFormatting sqref="D9">
    <cfRule type="notContainsBlanks" dxfId="3" priority="3">
      <formula>LEN(TRIM(D9))&gt;0</formula>
    </cfRule>
  </conditionalFormatting>
  <conditionalFormatting sqref="D9">
    <cfRule type="containsBlanks" dxfId="2" priority="4">
      <formula>LEN(TRIM(D9))=0</formula>
    </cfRule>
  </conditionalFormatting>
  <conditionalFormatting sqref="E30">
    <cfRule type="containsBlanks" dxfId="1" priority="2">
      <formula>LEN(TRIM(E30))=0</formula>
    </cfRule>
  </conditionalFormatting>
  <conditionalFormatting sqref="E30">
    <cfRule type="notContainsBlanks" dxfId="0" priority="1">
      <formula>LEN(TRIM(E30))&gt;0</formula>
    </cfRule>
  </conditionalFormatting>
  <dataValidations count="3">
    <dataValidation type="decimal" allowBlank="1" showInputMessage="1" showErrorMessage="1" sqref="D9" xr:uid="{ECBD2247-6155-430D-A225-0811FB34F8E6}">
      <formula1>40</formula1>
      <formula2>140</formula2>
    </dataValidation>
    <dataValidation type="list" allowBlank="1" showInputMessage="1" showErrorMessage="1" sqref="D14" xr:uid="{E77434F0-732A-4410-B781-9478C2AC5306}">
      <formula1>"3,4,5,6"</formula1>
    </dataValidation>
    <dataValidation type="list" allowBlank="1" showInputMessage="1" showErrorMessage="1" sqref="D15" xr:uid="{AD908AD4-238D-4445-9EF6-C58C4BC2DED3}">
      <formula1>"60,90,120"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4" r:id="rId4" name="Button 16">
              <controlPr defaultSize="0" print="0" autoFill="0" autoPict="0" macro="[0]!StreetliftingProgram.StreetliftingProgram">
                <anchor moveWithCells="1" sizeWithCells="1">
                  <from>
                    <xdr:col>6</xdr:col>
                    <xdr:colOff>845820</xdr:colOff>
                    <xdr:row>4</xdr:row>
                    <xdr:rowOff>7620</xdr:rowOff>
                  </from>
                  <to>
                    <xdr:col>13</xdr:col>
                    <xdr:colOff>0</xdr:colOff>
                    <xdr:row>10</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4EE128BE-265D-4DE6-A35B-C63F9DBC11B6}">
          <x14:formula1>
            <xm:f>IF($B$25="FAIBLESSES",DATA_Construction!$F$3:$F$6,DATA_Building!$F$3:$F$6)</xm:f>
          </x14:formula1>
          <xm:sqref>C28</xm:sqref>
        </x14:dataValidation>
        <x14:dataValidation type="list" allowBlank="1" showInputMessage="1" showErrorMessage="1" xr:uid="{3F1FE513-3432-412F-AF8E-A9B6B2E1ACFC}">
          <x14:formula1>
            <xm:f>IF($B$5="CORPOREL",DATA_Construction!$B$3:$B$4,DATA_Building!$B$3:$B$4)</xm:f>
          </x14:formula1>
          <xm:sqref>D8</xm:sqref>
        </x14:dataValidation>
        <x14:dataValidation type="list" allowBlank="1" showInputMessage="1" showErrorMessage="1" xr:uid="{AD6D7202-D890-4E31-8589-0EC9711D38D0}">
          <x14:formula1>
            <xm:f>IF($B$25="FAIBLESSES",DATA_Construction!$J$3:$J$6,DATA_Building!$J$3:$J$6)</xm:f>
          </x14:formula1>
          <xm:sqref>C30</xm:sqref>
        </x14:dataValidation>
        <x14:dataValidation type="list" allowBlank="1" showInputMessage="1" showErrorMessage="1" xr:uid="{244CFAF6-3CE4-43B4-80A0-69F2849619B5}">
          <x14:formula1>
            <xm:f>IF($B$25="FAIBLESSES",DATA_Construction!$L$3:$L$5,DATA_Building!$L$3:$L$5)</xm:f>
          </x14:formula1>
          <xm:sqref>C31</xm:sqref>
        </x14:dataValidation>
        <x14:dataValidation type="list" allowBlank="1" showInputMessage="1" showErrorMessage="1" xr:uid="{4EF52D43-7FCC-40D4-A39E-6477817B4123}">
          <x14:formula1>
            <xm:f>IF($B$25="FAIBLESSES",DATA_Construction!$H$3:$H$6,DATA_Building!$H$3:$H$6)</xm:f>
          </x14:formula1>
          <xm:sqref>C29</xm:sqref>
        </x14:dataValidation>
        <x14:dataValidation type="list" allowBlank="1" showInputMessage="1" showErrorMessage="1" xr:uid="{0EF26D85-2D59-4FFC-A992-1A053D47CDBB}">
          <x14:formula1>
            <xm:f>IF($D$27="MUSCULAIRE",DATA_Construction!$D$3:$D$12,DATA_Building!$D$3:$D$12)</xm:f>
          </x14:formula1>
          <xm:sqref>E28:E31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8"/>
  <dimension ref="B1:S28"/>
  <sheetViews>
    <sheetView topLeftCell="A3" zoomScale="80" zoomScaleNormal="80" workbookViewId="0"/>
  </sheetViews>
  <sheetFormatPr baseColWidth="10" defaultColWidth="11.44140625" defaultRowHeight="14.4" x14ac:dyDescent="0.3"/>
  <cols>
    <col min="1" max="1" width="10.6640625" style="1" customWidth="1"/>
    <col min="2" max="2" width="22.88671875" style="1" customWidth="1"/>
    <col min="3" max="3" width="11.44140625" style="1"/>
    <col min="4" max="5" width="13.33203125" style="1" customWidth="1"/>
    <col min="6" max="19" width="13.109375" style="1" customWidth="1"/>
    <col min="20" max="16384" width="11.44140625" style="1"/>
  </cols>
  <sheetData>
    <row r="1" spans="2:19" ht="24.9" customHeight="1" x14ac:dyDescent="0.3"/>
    <row r="2" spans="2:19" ht="17.25" customHeight="1" x14ac:dyDescent="0.3">
      <c r="D2" s="40" t="s">
        <v>195</v>
      </c>
      <c r="E2" s="40"/>
      <c r="F2" s="40"/>
      <c r="G2" s="40"/>
      <c r="H2" s="40"/>
      <c r="I2" s="40"/>
      <c r="J2" s="40"/>
      <c r="K2" s="40"/>
      <c r="L2" s="40"/>
      <c r="M2" s="40"/>
      <c r="N2" s="40"/>
      <c r="O2" s="40"/>
      <c r="P2" s="40"/>
      <c r="Q2" s="40"/>
      <c r="R2" s="40"/>
      <c r="S2" s="40"/>
    </row>
    <row r="3" spans="2:19" ht="17.25" customHeight="1" x14ac:dyDescent="0.3">
      <c r="D3" s="40"/>
      <c r="E3" s="40"/>
      <c r="F3" s="40"/>
      <c r="G3" s="40"/>
      <c r="H3" s="40"/>
      <c r="I3" s="40"/>
      <c r="J3" s="40"/>
      <c r="K3" s="40"/>
      <c r="L3" s="40"/>
      <c r="M3" s="40"/>
      <c r="N3" s="40"/>
      <c r="O3" s="40"/>
      <c r="P3" s="40"/>
      <c r="Q3" s="40"/>
      <c r="R3" s="40"/>
      <c r="S3" s="40"/>
    </row>
    <row r="5" spans="2:19" ht="17.25" customHeight="1" x14ac:dyDescent="0.3">
      <c r="B5" s="48" t="s">
        <v>196</v>
      </c>
      <c r="C5" s="58">
        <v>1</v>
      </c>
      <c r="D5" s="59" t="s">
        <v>198</v>
      </c>
      <c r="E5" s="59"/>
      <c r="F5" s="42" t="s">
        <v>201</v>
      </c>
      <c r="G5" s="42"/>
      <c r="H5" s="42"/>
      <c r="I5" s="42"/>
      <c r="J5" s="42"/>
      <c r="K5" s="42"/>
      <c r="L5" s="42"/>
      <c r="M5" s="42"/>
      <c r="N5" s="42"/>
      <c r="O5" s="42"/>
      <c r="P5" s="42"/>
      <c r="Q5" s="42"/>
      <c r="R5" s="42"/>
      <c r="S5" s="43"/>
    </row>
    <row r="6" spans="2:19" ht="17.25" customHeight="1" x14ac:dyDescent="0.3">
      <c r="B6" s="49"/>
      <c r="C6" s="51"/>
      <c r="D6" s="57"/>
      <c r="E6" s="57"/>
      <c r="F6" s="44"/>
      <c r="G6" s="44"/>
      <c r="H6" s="44"/>
      <c r="I6" s="44"/>
      <c r="J6" s="44"/>
      <c r="K6" s="44"/>
      <c r="L6" s="44"/>
      <c r="M6" s="44"/>
      <c r="N6" s="44"/>
      <c r="O6" s="44"/>
      <c r="P6" s="44"/>
      <c r="Q6" s="44"/>
      <c r="R6" s="44"/>
      <c r="S6" s="45"/>
    </row>
    <row r="7" spans="2:19" ht="17.25" customHeight="1" x14ac:dyDescent="0.3">
      <c r="B7" s="49"/>
      <c r="C7" s="51"/>
      <c r="D7" s="57"/>
      <c r="E7" s="57"/>
      <c r="F7" s="44"/>
      <c r="G7" s="44"/>
      <c r="H7" s="44"/>
      <c r="I7" s="44"/>
      <c r="J7" s="44"/>
      <c r="K7" s="44"/>
      <c r="L7" s="44"/>
      <c r="M7" s="44"/>
      <c r="N7" s="44"/>
      <c r="O7" s="44"/>
      <c r="P7" s="44"/>
      <c r="Q7" s="44"/>
      <c r="R7" s="44"/>
      <c r="S7" s="45"/>
    </row>
    <row r="8" spans="2:19" ht="17.25" customHeight="1" x14ac:dyDescent="0.3">
      <c r="B8" s="49"/>
      <c r="C8" s="51"/>
      <c r="D8" s="57"/>
      <c r="E8" s="57"/>
      <c r="F8" s="44"/>
      <c r="G8" s="44"/>
      <c r="H8" s="44"/>
      <c r="I8" s="44"/>
      <c r="J8" s="44"/>
      <c r="K8" s="44"/>
      <c r="L8" s="44"/>
      <c r="M8" s="44"/>
      <c r="N8" s="44"/>
      <c r="O8" s="44"/>
      <c r="P8" s="44"/>
      <c r="Q8" s="44"/>
      <c r="R8" s="44"/>
      <c r="S8" s="45"/>
    </row>
    <row r="9" spans="2:19" ht="28.5" customHeight="1" x14ac:dyDescent="0.3">
      <c r="B9" s="49"/>
      <c r="C9" s="51">
        <v>2</v>
      </c>
      <c r="D9" s="57" t="s">
        <v>199</v>
      </c>
      <c r="E9" s="57"/>
      <c r="F9" s="46" t="s">
        <v>202</v>
      </c>
      <c r="G9" s="46"/>
      <c r="H9" s="46" t="s">
        <v>203</v>
      </c>
      <c r="I9" s="46"/>
      <c r="J9" s="46" t="s">
        <v>125</v>
      </c>
      <c r="K9" s="46"/>
      <c r="L9" s="46" t="s">
        <v>161</v>
      </c>
      <c r="M9" s="46"/>
      <c r="N9" s="46" t="s">
        <v>204</v>
      </c>
      <c r="O9" s="46"/>
      <c r="P9" s="46" t="s">
        <v>205</v>
      </c>
      <c r="Q9" s="46"/>
      <c r="R9" s="46" t="s">
        <v>206</v>
      </c>
      <c r="S9" s="47"/>
    </row>
    <row r="10" spans="2:19" ht="28.5" customHeight="1" x14ac:dyDescent="0.3">
      <c r="B10" s="49"/>
      <c r="C10" s="51"/>
      <c r="D10" s="57"/>
      <c r="E10" s="57"/>
      <c r="F10" s="44" t="s">
        <v>207</v>
      </c>
      <c r="G10" s="44"/>
      <c r="H10" s="44" t="s">
        <v>208</v>
      </c>
      <c r="I10" s="44"/>
      <c r="J10" s="44" t="s">
        <v>209</v>
      </c>
      <c r="K10" s="44"/>
      <c r="L10" s="44" t="s">
        <v>210</v>
      </c>
      <c r="M10" s="44"/>
      <c r="N10" s="44" t="s">
        <v>211</v>
      </c>
      <c r="O10" s="44"/>
      <c r="P10" s="44" t="s">
        <v>212</v>
      </c>
      <c r="Q10" s="44"/>
      <c r="R10" s="44" t="s">
        <v>213</v>
      </c>
      <c r="S10" s="45"/>
    </row>
    <row r="11" spans="2:19" ht="28.5" customHeight="1" x14ac:dyDescent="0.3">
      <c r="B11" s="49"/>
      <c r="C11" s="51"/>
      <c r="D11" s="57"/>
      <c r="E11" s="57"/>
      <c r="F11" s="44"/>
      <c r="G11" s="44"/>
      <c r="H11" s="44"/>
      <c r="I11" s="44"/>
      <c r="J11" s="44"/>
      <c r="K11" s="44"/>
      <c r="L11" s="44"/>
      <c r="M11" s="44"/>
      <c r="N11" s="44"/>
      <c r="O11" s="44"/>
      <c r="P11" s="44"/>
      <c r="Q11" s="44"/>
      <c r="R11" s="44"/>
      <c r="S11" s="45"/>
    </row>
    <row r="12" spans="2:19" ht="28.5" customHeight="1" x14ac:dyDescent="0.3">
      <c r="B12" s="49"/>
      <c r="C12" s="51"/>
      <c r="D12" s="57"/>
      <c r="E12" s="57"/>
      <c r="F12" s="44"/>
      <c r="G12" s="44"/>
      <c r="H12" s="44"/>
      <c r="I12" s="44"/>
      <c r="J12" s="44"/>
      <c r="K12" s="44"/>
      <c r="L12" s="44"/>
      <c r="M12" s="44"/>
      <c r="N12" s="44"/>
      <c r="O12" s="44"/>
      <c r="P12" s="44"/>
      <c r="Q12" s="44"/>
      <c r="R12" s="44"/>
      <c r="S12" s="45"/>
    </row>
    <row r="13" spans="2:19" ht="28.5" customHeight="1" x14ac:dyDescent="0.3">
      <c r="B13" s="49"/>
      <c r="C13" s="51">
        <v>3</v>
      </c>
      <c r="D13" s="57" t="s">
        <v>200</v>
      </c>
      <c r="E13" s="57"/>
      <c r="F13" s="46" t="s">
        <v>214</v>
      </c>
      <c r="G13" s="46"/>
      <c r="H13" s="46"/>
      <c r="I13" s="46"/>
      <c r="J13" s="46" t="s">
        <v>216</v>
      </c>
      <c r="K13" s="46"/>
      <c r="L13" s="46" t="s">
        <v>126</v>
      </c>
      <c r="M13" s="46"/>
      <c r="N13" s="44"/>
      <c r="O13" s="44"/>
      <c r="P13" s="44"/>
      <c r="Q13" s="44"/>
      <c r="R13" s="44"/>
      <c r="S13" s="45"/>
    </row>
    <row r="14" spans="2:19" ht="28.5" customHeight="1" x14ac:dyDescent="0.3">
      <c r="B14" s="49"/>
      <c r="C14" s="51"/>
      <c r="D14" s="57"/>
      <c r="E14" s="57"/>
      <c r="F14" s="44" t="s">
        <v>215</v>
      </c>
      <c r="G14" s="44"/>
      <c r="H14" s="44"/>
      <c r="I14" s="44"/>
      <c r="J14" s="44" t="s">
        <v>217</v>
      </c>
      <c r="K14" s="44"/>
      <c r="L14" s="44" t="s">
        <v>218</v>
      </c>
      <c r="M14" s="44"/>
      <c r="N14" s="44"/>
      <c r="O14" s="44"/>
      <c r="P14" s="44"/>
      <c r="Q14" s="44"/>
      <c r="R14" s="44"/>
      <c r="S14" s="45"/>
    </row>
    <row r="15" spans="2:19" ht="28.5" customHeight="1" x14ac:dyDescent="0.3">
      <c r="B15" s="49"/>
      <c r="C15" s="51"/>
      <c r="D15" s="57"/>
      <c r="E15" s="57"/>
      <c r="F15" s="44"/>
      <c r="G15" s="44"/>
      <c r="H15" s="44"/>
      <c r="I15" s="44"/>
      <c r="J15" s="44"/>
      <c r="K15" s="44"/>
      <c r="L15" s="44"/>
      <c r="M15" s="44"/>
      <c r="N15" s="44"/>
      <c r="O15" s="44"/>
      <c r="P15" s="44"/>
      <c r="Q15" s="44"/>
      <c r="R15" s="44"/>
      <c r="S15" s="45"/>
    </row>
    <row r="16" spans="2:19" ht="28.5" customHeight="1" x14ac:dyDescent="0.3">
      <c r="B16" s="50"/>
      <c r="C16" s="51"/>
      <c r="D16" s="57"/>
      <c r="E16" s="57"/>
      <c r="F16" s="44"/>
      <c r="G16" s="44"/>
      <c r="H16" s="44"/>
      <c r="I16" s="44"/>
      <c r="J16" s="44"/>
      <c r="K16" s="44"/>
      <c r="L16" s="44"/>
      <c r="M16" s="44"/>
      <c r="N16" s="44"/>
      <c r="O16" s="44"/>
      <c r="P16" s="44"/>
      <c r="Q16" s="44"/>
      <c r="R16" s="44"/>
      <c r="S16" s="45"/>
    </row>
    <row r="17" spans="2:19" ht="11.85" customHeight="1" x14ac:dyDescent="0.3">
      <c r="B17" s="48" t="s">
        <v>197</v>
      </c>
      <c r="C17" s="51">
        <v>4</v>
      </c>
      <c r="D17" s="53" t="s">
        <v>219</v>
      </c>
      <c r="E17" s="53"/>
      <c r="F17" s="53"/>
      <c r="G17" s="53"/>
      <c r="H17" s="53"/>
      <c r="I17" s="53"/>
      <c r="J17" s="53"/>
      <c r="K17" s="53"/>
      <c r="L17" s="53"/>
      <c r="M17" s="53"/>
      <c r="N17" s="53"/>
      <c r="O17" s="53"/>
      <c r="P17" s="53"/>
      <c r="Q17" s="53"/>
      <c r="R17" s="53"/>
      <c r="S17" s="54"/>
    </row>
    <row r="18" spans="2:19" ht="11.85" customHeight="1" x14ac:dyDescent="0.3">
      <c r="B18" s="49"/>
      <c r="C18" s="51"/>
      <c r="D18" s="53"/>
      <c r="E18" s="53"/>
      <c r="F18" s="53"/>
      <c r="G18" s="53"/>
      <c r="H18" s="53"/>
      <c r="I18" s="53"/>
      <c r="J18" s="53"/>
      <c r="K18" s="53"/>
      <c r="L18" s="53"/>
      <c r="M18" s="53"/>
      <c r="N18" s="53"/>
      <c r="O18" s="53"/>
      <c r="P18" s="53"/>
      <c r="Q18" s="53"/>
      <c r="R18" s="53"/>
      <c r="S18" s="54"/>
    </row>
    <row r="19" spans="2:19" ht="11.85" customHeight="1" x14ac:dyDescent="0.3">
      <c r="B19" s="49"/>
      <c r="C19" s="51"/>
      <c r="D19" s="53"/>
      <c r="E19" s="53"/>
      <c r="F19" s="53"/>
      <c r="G19" s="53"/>
      <c r="H19" s="53"/>
      <c r="I19" s="53"/>
      <c r="J19" s="53"/>
      <c r="K19" s="53"/>
      <c r="L19" s="53"/>
      <c r="M19" s="53"/>
      <c r="N19" s="53"/>
      <c r="O19" s="53"/>
      <c r="P19" s="53"/>
      <c r="Q19" s="53"/>
      <c r="R19" s="53"/>
      <c r="S19" s="54"/>
    </row>
    <row r="20" spans="2:19" ht="11.85" customHeight="1" x14ac:dyDescent="0.3">
      <c r="B20" s="49"/>
      <c r="C20" s="51"/>
      <c r="D20" s="53"/>
      <c r="E20" s="53"/>
      <c r="F20" s="53"/>
      <c r="G20" s="53"/>
      <c r="H20" s="53"/>
      <c r="I20" s="53"/>
      <c r="J20" s="53"/>
      <c r="K20" s="53"/>
      <c r="L20" s="53"/>
      <c r="M20" s="53"/>
      <c r="N20" s="53"/>
      <c r="O20" s="53"/>
      <c r="P20" s="53"/>
      <c r="Q20" s="53"/>
      <c r="R20" s="53"/>
      <c r="S20" s="54"/>
    </row>
    <row r="21" spans="2:19" ht="11.85" customHeight="1" x14ac:dyDescent="0.3">
      <c r="B21" s="49"/>
      <c r="C21" s="51"/>
      <c r="D21" s="53"/>
      <c r="E21" s="53"/>
      <c r="F21" s="53"/>
      <c r="G21" s="53"/>
      <c r="H21" s="53"/>
      <c r="I21" s="53"/>
      <c r="J21" s="53"/>
      <c r="K21" s="53"/>
      <c r="L21" s="53"/>
      <c r="M21" s="53"/>
      <c r="N21" s="53"/>
      <c r="O21" s="53"/>
      <c r="P21" s="53"/>
      <c r="Q21" s="53"/>
      <c r="R21" s="53"/>
      <c r="S21" s="54"/>
    </row>
    <row r="22" spans="2:19" ht="11.85" customHeight="1" x14ac:dyDescent="0.3">
      <c r="B22" s="49"/>
      <c r="C22" s="51"/>
      <c r="D22" s="53"/>
      <c r="E22" s="53"/>
      <c r="F22" s="53"/>
      <c r="G22" s="53"/>
      <c r="H22" s="53"/>
      <c r="I22" s="53"/>
      <c r="J22" s="53"/>
      <c r="K22" s="53"/>
      <c r="L22" s="53"/>
      <c r="M22" s="53"/>
      <c r="N22" s="53"/>
      <c r="O22" s="53"/>
      <c r="P22" s="53"/>
      <c r="Q22" s="53"/>
      <c r="R22" s="53"/>
      <c r="S22" s="54"/>
    </row>
    <row r="23" spans="2:19" ht="11.85" customHeight="1" x14ac:dyDescent="0.3">
      <c r="B23" s="49"/>
      <c r="C23" s="51"/>
      <c r="D23" s="53"/>
      <c r="E23" s="53"/>
      <c r="F23" s="53"/>
      <c r="G23" s="53"/>
      <c r="H23" s="53"/>
      <c r="I23" s="53"/>
      <c r="J23" s="53"/>
      <c r="K23" s="53"/>
      <c r="L23" s="53"/>
      <c r="M23" s="53"/>
      <c r="N23" s="53"/>
      <c r="O23" s="53"/>
      <c r="P23" s="53"/>
      <c r="Q23" s="53"/>
      <c r="R23" s="53"/>
      <c r="S23" s="54"/>
    </row>
    <row r="24" spans="2:19" ht="11.85" customHeight="1" x14ac:dyDescent="0.3">
      <c r="B24" s="49"/>
      <c r="C24" s="51"/>
      <c r="D24" s="53"/>
      <c r="E24" s="53"/>
      <c r="F24" s="53"/>
      <c r="G24" s="53"/>
      <c r="H24" s="53"/>
      <c r="I24" s="53"/>
      <c r="J24" s="53"/>
      <c r="K24" s="53"/>
      <c r="L24" s="53"/>
      <c r="M24" s="53"/>
      <c r="N24" s="53"/>
      <c r="O24" s="53"/>
      <c r="P24" s="53"/>
      <c r="Q24" s="53"/>
      <c r="R24" s="53"/>
      <c r="S24" s="54"/>
    </row>
    <row r="25" spans="2:19" ht="11.85" customHeight="1" x14ac:dyDescent="0.3">
      <c r="B25" s="49"/>
      <c r="C25" s="51"/>
      <c r="D25" s="53"/>
      <c r="E25" s="53"/>
      <c r="F25" s="53"/>
      <c r="G25" s="53"/>
      <c r="H25" s="53"/>
      <c r="I25" s="53"/>
      <c r="J25" s="53"/>
      <c r="K25" s="53"/>
      <c r="L25" s="53"/>
      <c r="M25" s="53"/>
      <c r="N25" s="53"/>
      <c r="O25" s="53"/>
      <c r="P25" s="53"/>
      <c r="Q25" s="53"/>
      <c r="R25" s="53"/>
      <c r="S25" s="54"/>
    </row>
    <row r="26" spans="2:19" ht="11.85" customHeight="1" x14ac:dyDescent="0.3">
      <c r="B26" s="49"/>
      <c r="C26" s="51"/>
      <c r="D26" s="53"/>
      <c r="E26" s="53"/>
      <c r="F26" s="53"/>
      <c r="G26" s="53"/>
      <c r="H26" s="53"/>
      <c r="I26" s="53"/>
      <c r="J26" s="53"/>
      <c r="K26" s="53"/>
      <c r="L26" s="53"/>
      <c r="M26" s="53"/>
      <c r="N26" s="53"/>
      <c r="O26" s="53"/>
      <c r="P26" s="53"/>
      <c r="Q26" s="53"/>
      <c r="R26" s="53"/>
      <c r="S26" s="54"/>
    </row>
    <row r="27" spans="2:19" ht="11.85" customHeight="1" x14ac:dyDescent="0.3">
      <c r="B27" s="49"/>
      <c r="C27" s="51"/>
      <c r="D27" s="53"/>
      <c r="E27" s="53"/>
      <c r="F27" s="53"/>
      <c r="G27" s="53"/>
      <c r="H27" s="53"/>
      <c r="I27" s="53"/>
      <c r="J27" s="53"/>
      <c r="K27" s="53"/>
      <c r="L27" s="53"/>
      <c r="M27" s="53"/>
      <c r="N27" s="53"/>
      <c r="O27" s="53"/>
      <c r="P27" s="53"/>
      <c r="Q27" s="53"/>
      <c r="R27" s="53"/>
      <c r="S27" s="54"/>
    </row>
    <row r="28" spans="2:19" ht="11.85" customHeight="1" x14ac:dyDescent="0.3">
      <c r="B28" s="50"/>
      <c r="C28" s="52"/>
      <c r="D28" s="55"/>
      <c r="E28" s="55"/>
      <c r="F28" s="55"/>
      <c r="G28" s="55"/>
      <c r="H28" s="55"/>
      <c r="I28" s="55"/>
      <c r="J28" s="55"/>
      <c r="K28" s="55"/>
      <c r="L28" s="55"/>
      <c r="M28" s="55"/>
      <c r="N28" s="55"/>
      <c r="O28" s="55"/>
      <c r="P28" s="55"/>
      <c r="Q28" s="55"/>
      <c r="R28" s="55"/>
      <c r="S28" s="56"/>
    </row>
  </sheetData>
  <mergeCells count="32">
    <mergeCell ref="F13:I13"/>
    <mergeCell ref="F14:I16"/>
    <mergeCell ref="B17:B28"/>
    <mergeCell ref="C17:C28"/>
    <mergeCell ref="D17:S28"/>
    <mergeCell ref="C13:C16"/>
    <mergeCell ref="D13:E16"/>
    <mergeCell ref="B5:B16"/>
    <mergeCell ref="C5:C8"/>
    <mergeCell ref="D5:E8"/>
    <mergeCell ref="C9:C12"/>
    <mergeCell ref="D9:E12"/>
    <mergeCell ref="J13:K13"/>
    <mergeCell ref="L13:M13"/>
    <mergeCell ref="J14:K16"/>
    <mergeCell ref="L14:M16"/>
    <mergeCell ref="D2:S3"/>
    <mergeCell ref="F5:S8"/>
    <mergeCell ref="F9:G9"/>
    <mergeCell ref="F10:G12"/>
    <mergeCell ref="H10:I12"/>
    <mergeCell ref="H9:I9"/>
    <mergeCell ref="J9:K9"/>
    <mergeCell ref="J10:K12"/>
    <mergeCell ref="L9:M9"/>
    <mergeCell ref="L10:M12"/>
    <mergeCell ref="N9:O9"/>
    <mergeCell ref="P9:Q9"/>
    <mergeCell ref="R9:S9"/>
    <mergeCell ref="N10:O16"/>
    <mergeCell ref="P10:Q16"/>
    <mergeCell ref="R10:S16"/>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dimension ref="B1:BN200"/>
  <sheetViews>
    <sheetView zoomScale="80" zoomScaleNormal="80" workbookViewId="0"/>
  </sheetViews>
  <sheetFormatPr baseColWidth="10" defaultColWidth="11.44140625" defaultRowHeight="14.4" x14ac:dyDescent="0.3"/>
  <cols>
    <col min="1" max="1" width="10.6640625" style="7" customWidth="1"/>
    <col min="2" max="2" width="6.6640625" style="7" customWidth="1"/>
    <col min="3" max="3" width="27.5546875" style="8" customWidth="1"/>
    <col min="4" max="4" width="7.109375" style="7" customWidth="1"/>
    <col min="5" max="5" width="13" style="9" customWidth="1"/>
    <col min="6" max="6" width="10.6640625" style="7" customWidth="1"/>
    <col min="7" max="7" width="17.109375" style="7" bestFit="1" customWidth="1"/>
    <col min="8" max="8" width="9" style="7" customWidth="1"/>
    <col min="9" max="9" width="88.33203125" style="8" bestFit="1" customWidth="1"/>
    <col min="10" max="10" width="8.33203125" style="7" customWidth="1"/>
    <col min="11" max="11" width="15" style="7" customWidth="1"/>
    <col min="12" max="12" width="11.44140625" style="7"/>
    <col min="13" max="13" width="6.6640625" style="7" customWidth="1"/>
    <col min="14" max="14" width="25.6640625" style="8" customWidth="1"/>
    <col min="15" max="15" width="7.109375" style="7" customWidth="1"/>
    <col min="16" max="16" width="13" style="9" customWidth="1"/>
    <col min="17" max="17" width="10.6640625" style="7" customWidth="1"/>
    <col min="18" max="18" width="17.109375" style="7" bestFit="1" customWidth="1"/>
    <col min="19" max="19" width="9" style="7" customWidth="1"/>
    <col min="20" max="20" width="88.33203125" style="8" bestFit="1" customWidth="1"/>
    <col min="21" max="21" width="8.33203125" style="7" customWidth="1"/>
    <col min="22" max="22" width="15" style="7" customWidth="1"/>
    <col min="23" max="23" width="11.44140625" style="7"/>
    <col min="24" max="24" width="6.6640625" style="7" customWidth="1"/>
    <col min="25" max="25" width="25.6640625" style="8" customWidth="1"/>
    <col min="26" max="26" width="7.109375" style="7" customWidth="1"/>
    <col min="27" max="27" width="13" style="9" customWidth="1"/>
    <col min="28" max="28" width="10.6640625" style="7" customWidth="1"/>
    <col min="29" max="29" width="17.109375" style="7" bestFit="1" customWidth="1"/>
    <col min="30" max="30" width="9" style="7" customWidth="1"/>
    <col min="31" max="31" width="88.33203125" style="8" bestFit="1" customWidth="1"/>
    <col min="32" max="32" width="8.33203125" style="7" customWidth="1"/>
    <col min="33" max="33" width="15" style="7" customWidth="1"/>
    <col min="34" max="34" width="11.44140625" style="7"/>
    <col min="35" max="35" width="6.6640625" style="7" customWidth="1"/>
    <col min="36" max="36" width="25.6640625" style="8" customWidth="1"/>
    <col min="37" max="37" width="7.109375" style="7" customWidth="1"/>
    <col min="38" max="38" width="13" style="9" customWidth="1"/>
    <col min="39" max="39" width="10.6640625" style="7" customWidth="1"/>
    <col min="40" max="40" width="17.109375" style="7" bestFit="1" customWidth="1"/>
    <col min="41" max="41" width="9" style="7" customWidth="1"/>
    <col min="42" max="42" width="88.33203125" style="8" bestFit="1" customWidth="1"/>
    <col min="43" max="43" width="8.33203125" style="7" customWidth="1"/>
    <col min="44" max="44" width="15" style="7" customWidth="1"/>
    <col min="45" max="45" width="11.44140625" style="7"/>
    <col min="46" max="46" width="6.6640625" style="7" customWidth="1"/>
    <col min="47" max="47" width="25.6640625" style="8" customWidth="1"/>
    <col min="48" max="48" width="7.109375" style="7" customWidth="1"/>
    <col min="49" max="49" width="13" style="9" customWidth="1"/>
    <col min="50" max="50" width="10.6640625" style="7" customWidth="1"/>
    <col min="51" max="51" width="17.109375" style="7" bestFit="1" customWidth="1"/>
    <col min="52" max="52" width="9" style="7" customWidth="1"/>
    <col min="53" max="53" width="88.33203125" style="8" bestFit="1" customWidth="1"/>
    <col min="54" max="54" width="8.33203125" style="7" customWidth="1"/>
    <col min="55" max="55" width="15" style="7" customWidth="1"/>
    <col min="56" max="56" width="11.44140625" style="7"/>
    <col min="57" max="57" width="6.6640625" style="7" customWidth="1"/>
    <col min="58" max="58" width="25.6640625" style="7" customWidth="1"/>
    <col min="59" max="59" width="7.109375" style="7" customWidth="1"/>
    <col min="60" max="60" width="13" style="7" customWidth="1"/>
    <col min="61" max="61" width="10.6640625" style="7" customWidth="1"/>
    <col min="62" max="62" width="17.109375" style="7" bestFit="1" customWidth="1"/>
    <col min="63" max="63" width="9" style="7" customWidth="1"/>
    <col min="64" max="64" width="88.33203125" style="7" bestFit="1" customWidth="1"/>
    <col min="65" max="65" width="8.33203125" style="7" customWidth="1"/>
    <col min="66" max="66" width="15" style="7" customWidth="1"/>
    <col min="67" max="16384" width="11.44140625" style="7"/>
  </cols>
  <sheetData>
    <row r="1" spans="2:66" s="3" customFormat="1" ht="25.05" customHeight="1" x14ac:dyDescent="0.3">
      <c r="B1" s="6"/>
      <c r="C1" s="6"/>
      <c r="D1" s="6"/>
      <c r="E1" s="10"/>
      <c r="F1" s="6"/>
      <c r="G1" s="6"/>
      <c r="H1" s="6"/>
      <c r="I1" s="6"/>
      <c r="J1" s="6"/>
      <c r="K1" s="6"/>
      <c r="L1" s="6"/>
      <c r="M1" s="6"/>
      <c r="N1" s="6"/>
      <c r="O1" s="6"/>
      <c r="P1" s="10"/>
      <c r="Q1" s="6"/>
      <c r="R1" s="6"/>
      <c r="S1" s="6"/>
      <c r="T1" s="6"/>
      <c r="U1" s="6"/>
      <c r="V1" s="6"/>
      <c r="W1" s="6"/>
      <c r="X1" s="6"/>
      <c r="Y1" s="6"/>
      <c r="Z1" s="6"/>
      <c r="AA1" s="10"/>
      <c r="AB1" s="6"/>
      <c r="AC1" s="6"/>
      <c r="AD1" s="6"/>
      <c r="AE1" s="6"/>
      <c r="AF1" s="6"/>
      <c r="AG1" s="6"/>
      <c r="AH1" s="6"/>
      <c r="AI1" s="6"/>
      <c r="AJ1" s="6"/>
      <c r="AK1" s="6"/>
      <c r="AL1" s="10"/>
      <c r="AM1" s="6"/>
      <c r="AN1" s="6"/>
      <c r="AO1" s="6"/>
      <c r="AP1" s="6"/>
      <c r="AQ1" s="6"/>
      <c r="AR1" s="6"/>
      <c r="AS1" s="6"/>
      <c r="AT1" s="6"/>
      <c r="AU1" s="6"/>
      <c r="AV1" s="6"/>
      <c r="AW1" s="10"/>
      <c r="AX1" s="6"/>
      <c r="AY1" s="6"/>
      <c r="AZ1" s="6"/>
      <c r="BA1" s="6"/>
      <c r="BB1" s="6"/>
      <c r="BC1" s="6"/>
      <c r="BD1" s="6"/>
      <c r="BE1" s="6"/>
      <c r="BF1" s="6"/>
      <c r="BG1" s="6"/>
      <c r="BH1" s="6"/>
      <c r="BI1" s="6"/>
      <c r="BJ1" s="6"/>
      <c r="BK1" s="6"/>
      <c r="BL1" s="6"/>
      <c r="BM1" s="6"/>
      <c r="BN1" s="6"/>
    </row>
    <row r="2" spans="2:66" s="3" customFormat="1" ht="17.25" customHeight="1" x14ac:dyDescent="0.3">
      <c r="B2" s="6"/>
      <c r="C2" s="6"/>
      <c r="D2" s="40" t="s">
        <v>256</v>
      </c>
      <c r="E2" s="40"/>
      <c r="F2" s="40"/>
      <c r="G2" s="40"/>
      <c r="H2" s="40"/>
      <c r="I2" s="40"/>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row>
    <row r="3" spans="2:66" s="3" customFormat="1" ht="17.25" customHeight="1" x14ac:dyDescent="0.3">
      <c r="B3" s="6"/>
      <c r="C3" s="6"/>
      <c r="D3" s="40"/>
      <c r="E3" s="40"/>
      <c r="F3" s="40"/>
      <c r="G3" s="40"/>
      <c r="H3" s="40"/>
      <c r="I3" s="40"/>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row>
    <row r="4" spans="2:66" s="3" customFormat="1" x14ac:dyDescent="0.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row>
    <row r="5" spans="2:66" s="4" customFormat="1" x14ac:dyDescent="0.3">
      <c r="B5" s="60" t="s">
        <v>226</v>
      </c>
      <c r="C5" s="61"/>
      <c r="D5" s="61"/>
      <c r="E5" s="61"/>
      <c r="F5" s="61"/>
      <c r="G5" s="61"/>
      <c r="H5" s="61"/>
      <c r="I5" s="61"/>
      <c r="J5" s="61"/>
      <c r="K5" s="61"/>
      <c r="L5" s="14"/>
      <c r="M5" s="60" t="s">
        <v>227</v>
      </c>
      <c r="N5" s="61"/>
      <c r="O5" s="61"/>
      <c r="P5" s="61"/>
      <c r="Q5" s="61"/>
      <c r="R5" s="61"/>
      <c r="S5" s="61"/>
      <c r="T5" s="61"/>
      <c r="U5" s="61"/>
      <c r="V5" s="61"/>
      <c r="W5" s="14"/>
      <c r="X5" s="60" t="s">
        <v>228</v>
      </c>
      <c r="Y5" s="61"/>
      <c r="Z5" s="61"/>
      <c r="AA5" s="61"/>
      <c r="AB5" s="61"/>
      <c r="AC5" s="61"/>
      <c r="AD5" s="61"/>
      <c r="AE5" s="61"/>
      <c r="AF5" s="61"/>
      <c r="AG5" s="61"/>
      <c r="AH5" s="14"/>
      <c r="AI5" s="60" t="s">
        <v>229</v>
      </c>
      <c r="AJ5" s="61"/>
      <c r="AK5" s="61"/>
      <c r="AL5" s="61"/>
      <c r="AM5" s="61"/>
      <c r="AN5" s="61"/>
      <c r="AO5" s="61"/>
      <c r="AP5" s="61"/>
      <c r="AQ5" s="61"/>
      <c r="AR5" s="61"/>
      <c r="AS5" s="14"/>
      <c r="AT5" s="60" t="s">
        <v>230</v>
      </c>
      <c r="AU5" s="61"/>
      <c r="AV5" s="61"/>
      <c r="AW5" s="61"/>
      <c r="AX5" s="61"/>
      <c r="AY5" s="61"/>
      <c r="AZ5" s="61"/>
      <c r="BA5" s="61"/>
      <c r="BB5" s="61"/>
      <c r="BC5" s="61"/>
      <c r="BD5" s="14"/>
      <c r="BE5" s="60" t="s">
        <v>231</v>
      </c>
      <c r="BF5" s="61"/>
      <c r="BG5" s="61"/>
      <c r="BH5" s="61"/>
      <c r="BI5" s="61"/>
      <c r="BJ5" s="61"/>
      <c r="BK5" s="61"/>
      <c r="BL5" s="61"/>
      <c r="BM5" s="61"/>
      <c r="BN5" s="61"/>
    </row>
    <row r="6" spans="2:66" s="4" customFormat="1" x14ac:dyDescent="0.3">
      <c r="B6" s="15" t="s">
        <v>232</v>
      </c>
      <c r="C6" s="15" t="s">
        <v>233</v>
      </c>
      <c r="D6" s="15" t="s">
        <v>234</v>
      </c>
      <c r="E6" s="15" t="s">
        <v>235</v>
      </c>
      <c r="F6" s="15" t="s">
        <v>236</v>
      </c>
      <c r="G6" s="15" t="s">
        <v>237</v>
      </c>
      <c r="H6" s="15" t="s">
        <v>238</v>
      </c>
      <c r="I6" s="15" t="s">
        <v>151</v>
      </c>
      <c r="J6" s="16" t="s">
        <v>239</v>
      </c>
      <c r="K6" s="16" t="s">
        <v>240</v>
      </c>
      <c r="L6" s="14"/>
      <c r="M6" s="15" t="s">
        <v>232</v>
      </c>
      <c r="N6" s="15" t="s">
        <v>233</v>
      </c>
      <c r="O6" s="15" t="s">
        <v>234</v>
      </c>
      <c r="P6" s="15" t="s">
        <v>235</v>
      </c>
      <c r="Q6" s="15" t="s">
        <v>236</v>
      </c>
      <c r="R6" s="15" t="s">
        <v>237</v>
      </c>
      <c r="S6" s="15" t="s">
        <v>238</v>
      </c>
      <c r="T6" s="15" t="s">
        <v>151</v>
      </c>
      <c r="U6" s="16" t="s">
        <v>239</v>
      </c>
      <c r="V6" s="16" t="s">
        <v>240</v>
      </c>
      <c r="W6" s="14"/>
      <c r="X6" s="15" t="s">
        <v>232</v>
      </c>
      <c r="Y6" s="15" t="s">
        <v>233</v>
      </c>
      <c r="Z6" s="15" t="s">
        <v>234</v>
      </c>
      <c r="AA6" s="15" t="s">
        <v>235</v>
      </c>
      <c r="AB6" s="15" t="s">
        <v>236</v>
      </c>
      <c r="AC6" s="15" t="s">
        <v>237</v>
      </c>
      <c r="AD6" s="15" t="s">
        <v>238</v>
      </c>
      <c r="AE6" s="15" t="s">
        <v>151</v>
      </c>
      <c r="AF6" s="16" t="s">
        <v>239</v>
      </c>
      <c r="AG6" s="16" t="s">
        <v>240</v>
      </c>
      <c r="AH6" s="14"/>
      <c r="AI6" s="15" t="s">
        <v>232</v>
      </c>
      <c r="AJ6" s="15" t="s">
        <v>233</v>
      </c>
      <c r="AK6" s="15" t="s">
        <v>234</v>
      </c>
      <c r="AL6" s="15" t="s">
        <v>235</v>
      </c>
      <c r="AM6" s="15" t="s">
        <v>236</v>
      </c>
      <c r="AN6" s="15" t="s">
        <v>237</v>
      </c>
      <c r="AO6" s="15" t="s">
        <v>238</v>
      </c>
      <c r="AP6" s="15" t="s">
        <v>151</v>
      </c>
      <c r="AQ6" s="16" t="s">
        <v>239</v>
      </c>
      <c r="AR6" s="16" t="s">
        <v>240</v>
      </c>
      <c r="AS6" s="14"/>
      <c r="AT6" s="15" t="s">
        <v>232</v>
      </c>
      <c r="AU6" s="15" t="s">
        <v>233</v>
      </c>
      <c r="AV6" s="15" t="s">
        <v>234</v>
      </c>
      <c r="AW6" s="15" t="s">
        <v>235</v>
      </c>
      <c r="AX6" s="15" t="s">
        <v>236</v>
      </c>
      <c r="AY6" s="15" t="s">
        <v>237</v>
      </c>
      <c r="AZ6" s="15" t="s">
        <v>238</v>
      </c>
      <c r="BA6" s="15" t="s">
        <v>151</v>
      </c>
      <c r="BB6" s="16" t="s">
        <v>239</v>
      </c>
      <c r="BC6" s="16" t="s">
        <v>240</v>
      </c>
      <c r="BD6" s="14"/>
      <c r="BE6" s="15" t="s">
        <v>232</v>
      </c>
      <c r="BF6" s="15" t="s">
        <v>233</v>
      </c>
      <c r="BG6" s="15" t="s">
        <v>234</v>
      </c>
      <c r="BH6" s="15" t="s">
        <v>235</v>
      </c>
      <c r="BI6" s="15" t="s">
        <v>236</v>
      </c>
      <c r="BJ6" s="15" t="s">
        <v>237</v>
      </c>
      <c r="BK6" s="15" t="s">
        <v>238</v>
      </c>
      <c r="BL6" s="15" t="s">
        <v>151</v>
      </c>
      <c r="BM6" s="16" t="s">
        <v>239</v>
      </c>
      <c r="BN6" s="16" t="s">
        <v>240</v>
      </c>
    </row>
    <row r="7" spans="2:66" s="4" customFormat="1" ht="28.8" x14ac:dyDescent="0.3">
      <c r="B7" s="17">
        <v>1</v>
      </c>
      <c r="C7" s="17" t="s">
        <v>260</v>
      </c>
      <c r="D7" s="17">
        <v>3</v>
      </c>
      <c r="E7" s="17" t="s">
        <v>152</v>
      </c>
      <c r="F7" s="17">
        <v>8</v>
      </c>
      <c r="G7" s="17">
        <v>0</v>
      </c>
      <c r="H7" s="17" t="s">
        <v>153</v>
      </c>
      <c r="I7" s="17" t="s">
        <v>258</v>
      </c>
      <c r="J7" s="18"/>
      <c r="K7" s="18"/>
      <c r="L7" s="14"/>
      <c r="M7" s="17">
        <v>1</v>
      </c>
      <c r="N7" s="17" t="s">
        <v>260</v>
      </c>
      <c r="O7" s="17">
        <v>4</v>
      </c>
      <c r="P7" s="17" t="s">
        <v>152</v>
      </c>
      <c r="Q7" s="17">
        <v>8</v>
      </c>
      <c r="R7" s="17">
        <v>0</v>
      </c>
      <c r="S7" s="17" t="s">
        <v>153</v>
      </c>
      <c r="T7" s="17" t="s">
        <v>258</v>
      </c>
      <c r="U7" s="18"/>
      <c r="V7" s="18"/>
      <c r="W7" s="14"/>
      <c r="X7" s="17">
        <v>1</v>
      </c>
      <c r="Y7" s="17" t="s">
        <v>260</v>
      </c>
      <c r="Z7" s="17">
        <v>4</v>
      </c>
      <c r="AA7" s="17" t="s">
        <v>152</v>
      </c>
      <c r="AB7" s="17">
        <v>8.5</v>
      </c>
      <c r="AC7" s="17">
        <v>0</v>
      </c>
      <c r="AD7" s="17" t="s">
        <v>153</v>
      </c>
      <c r="AE7" s="17" t="s">
        <v>258</v>
      </c>
      <c r="AF7" s="18"/>
      <c r="AG7" s="18"/>
      <c r="AH7" s="14"/>
      <c r="AI7" s="17">
        <v>1</v>
      </c>
      <c r="AJ7" s="17" t="s">
        <v>260</v>
      </c>
      <c r="AK7" s="17">
        <v>4</v>
      </c>
      <c r="AL7" s="17" t="s">
        <v>152</v>
      </c>
      <c r="AM7" s="17">
        <v>8.5</v>
      </c>
      <c r="AN7" s="17">
        <v>0</v>
      </c>
      <c r="AO7" s="17" t="s">
        <v>153</v>
      </c>
      <c r="AP7" s="17" t="s">
        <v>258</v>
      </c>
      <c r="AQ7" s="18"/>
      <c r="AR7" s="18"/>
      <c r="AS7" s="14"/>
      <c r="AT7" s="17">
        <v>1</v>
      </c>
      <c r="AU7" s="17" t="s">
        <v>260</v>
      </c>
      <c r="AV7" s="17">
        <v>4</v>
      </c>
      <c r="AW7" s="17" t="s">
        <v>152</v>
      </c>
      <c r="AX7" s="17">
        <v>9</v>
      </c>
      <c r="AY7" s="17">
        <v>0</v>
      </c>
      <c r="AZ7" s="17" t="s">
        <v>153</v>
      </c>
      <c r="BA7" s="17" t="s">
        <v>258</v>
      </c>
      <c r="BB7" s="18"/>
      <c r="BC7" s="18"/>
      <c r="BD7" s="14"/>
      <c r="BE7" s="17">
        <v>1</v>
      </c>
      <c r="BF7" s="17" t="s">
        <v>260</v>
      </c>
      <c r="BG7" s="17">
        <v>4</v>
      </c>
      <c r="BH7" s="17" t="s">
        <v>152</v>
      </c>
      <c r="BI7" s="17">
        <v>9</v>
      </c>
      <c r="BJ7" s="17">
        <v>0</v>
      </c>
      <c r="BK7" s="17" t="s">
        <v>153</v>
      </c>
      <c r="BL7" s="17" t="s">
        <v>258</v>
      </c>
      <c r="BM7" s="18"/>
      <c r="BN7" s="18"/>
    </row>
    <row r="8" spans="2:66" s="4" customFormat="1" x14ac:dyDescent="0.3">
      <c r="B8" s="19">
        <v>2</v>
      </c>
      <c r="C8" s="19" t="s">
        <v>254</v>
      </c>
      <c r="D8" s="19">
        <v>3</v>
      </c>
      <c r="E8" s="19">
        <v>8</v>
      </c>
      <c r="F8" s="19"/>
      <c r="G8" s="19">
        <v>8.75</v>
      </c>
      <c r="H8" s="19" t="s">
        <v>153</v>
      </c>
      <c r="I8" s="19" t="s">
        <v>241</v>
      </c>
      <c r="J8" s="20"/>
      <c r="K8" s="20"/>
      <c r="L8" s="14"/>
      <c r="M8" s="19">
        <v>2</v>
      </c>
      <c r="N8" s="19" t="s">
        <v>254</v>
      </c>
      <c r="O8" s="19">
        <v>4</v>
      </c>
      <c r="P8" s="19">
        <v>8</v>
      </c>
      <c r="Q8" s="19"/>
      <c r="R8" s="19">
        <v>10</v>
      </c>
      <c r="S8" s="19" t="s">
        <v>153</v>
      </c>
      <c r="T8" s="19" t="s">
        <v>241</v>
      </c>
      <c r="U8" s="20"/>
      <c r="V8" s="20"/>
      <c r="W8" s="14"/>
      <c r="X8" s="19">
        <v>2</v>
      </c>
      <c r="Y8" s="19" t="s">
        <v>254</v>
      </c>
      <c r="Z8" s="19">
        <v>4</v>
      </c>
      <c r="AA8" s="19">
        <v>8</v>
      </c>
      <c r="AB8" s="19"/>
      <c r="AC8" s="19">
        <v>10</v>
      </c>
      <c r="AD8" s="19" t="s">
        <v>153</v>
      </c>
      <c r="AE8" s="19" t="s">
        <v>241</v>
      </c>
      <c r="AF8" s="20"/>
      <c r="AG8" s="20"/>
      <c r="AH8" s="14"/>
      <c r="AI8" s="19">
        <v>2</v>
      </c>
      <c r="AJ8" s="19" t="s">
        <v>254</v>
      </c>
      <c r="AK8" s="19">
        <v>4</v>
      </c>
      <c r="AL8" s="19">
        <v>8</v>
      </c>
      <c r="AM8" s="19"/>
      <c r="AN8" s="19">
        <v>11.25</v>
      </c>
      <c r="AO8" s="19" t="s">
        <v>153</v>
      </c>
      <c r="AP8" s="19" t="s">
        <v>241</v>
      </c>
      <c r="AQ8" s="20"/>
      <c r="AR8" s="20"/>
      <c r="AS8" s="14"/>
      <c r="AT8" s="19">
        <v>2</v>
      </c>
      <c r="AU8" s="19" t="s">
        <v>254</v>
      </c>
      <c r="AV8" s="19">
        <v>4</v>
      </c>
      <c r="AW8" s="19">
        <v>8</v>
      </c>
      <c r="AX8" s="19"/>
      <c r="AY8" s="19">
        <v>12.5</v>
      </c>
      <c r="AZ8" s="19" t="s">
        <v>153</v>
      </c>
      <c r="BA8" s="19" t="s">
        <v>241</v>
      </c>
      <c r="BB8" s="20"/>
      <c r="BC8" s="20"/>
      <c r="BD8" s="14"/>
      <c r="BE8" s="19">
        <v>2</v>
      </c>
      <c r="BF8" s="19" t="s">
        <v>254</v>
      </c>
      <c r="BG8" s="19">
        <v>4</v>
      </c>
      <c r="BH8" s="19">
        <v>8</v>
      </c>
      <c r="BI8" s="19"/>
      <c r="BJ8" s="19">
        <v>12.5</v>
      </c>
      <c r="BK8" s="19" t="s">
        <v>153</v>
      </c>
      <c r="BL8" s="19" t="s">
        <v>241</v>
      </c>
      <c r="BM8" s="20"/>
      <c r="BN8" s="20"/>
    </row>
    <row r="9" spans="2:66" s="4" customFormat="1" x14ac:dyDescent="0.3">
      <c r="B9" s="17">
        <v>3</v>
      </c>
      <c r="C9" s="17" t="s">
        <v>242</v>
      </c>
      <c r="D9" s="17">
        <v>3</v>
      </c>
      <c r="E9" s="17">
        <v>12</v>
      </c>
      <c r="F9" s="17">
        <v>8</v>
      </c>
      <c r="G9" s="17"/>
      <c r="H9" s="17" t="s">
        <v>243</v>
      </c>
      <c r="I9" s="17" t="s">
        <v>244</v>
      </c>
      <c r="J9" s="18"/>
      <c r="K9" s="18"/>
      <c r="L9" s="14"/>
      <c r="M9" s="17">
        <v>3</v>
      </c>
      <c r="N9" s="17" t="s">
        <v>242</v>
      </c>
      <c r="O9" s="17">
        <v>3</v>
      </c>
      <c r="P9" s="17">
        <v>12</v>
      </c>
      <c r="Q9" s="17">
        <v>8</v>
      </c>
      <c r="R9" s="17"/>
      <c r="S9" s="17" t="s">
        <v>243</v>
      </c>
      <c r="T9" s="17" t="s">
        <v>244</v>
      </c>
      <c r="U9" s="18"/>
      <c r="V9" s="18"/>
      <c r="W9" s="14"/>
      <c r="X9" s="17">
        <v>3</v>
      </c>
      <c r="Y9" s="17" t="s">
        <v>242</v>
      </c>
      <c r="Z9" s="17">
        <v>3</v>
      </c>
      <c r="AA9" s="17">
        <v>12</v>
      </c>
      <c r="AB9" s="17">
        <v>8</v>
      </c>
      <c r="AC9" s="17"/>
      <c r="AD9" s="17" t="s">
        <v>243</v>
      </c>
      <c r="AE9" s="17" t="s">
        <v>244</v>
      </c>
      <c r="AF9" s="18"/>
      <c r="AG9" s="18"/>
      <c r="AH9" s="14"/>
      <c r="AI9" s="17">
        <v>3</v>
      </c>
      <c r="AJ9" s="17" t="s">
        <v>242</v>
      </c>
      <c r="AK9" s="17">
        <v>3</v>
      </c>
      <c r="AL9" s="17">
        <v>12</v>
      </c>
      <c r="AM9" s="17">
        <v>8</v>
      </c>
      <c r="AN9" s="17"/>
      <c r="AO9" s="17" t="s">
        <v>243</v>
      </c>
      <c r="AP9" s="17" t="s">
        <v>244</v>
      </c>
      <c r="AQ9" s="18"/>
      <c r="AR9" s="18"/>
      <c r="AS9" s="14"/>
      <c r="AT9" s="17">
        <v>3</v>
      </c>
      <c r="AU9" s="17" t="s">
        <v>242</v>
      </c>
      <c r="AV9" s="17">
        <v>3</v>
      </c>
      <c r="AW9" s="17">
        <v>12</v>
      </c>
      <c r="AX9" s="17">
        <v>8</v>
      </c>
      <c r="AY9" s="17"/>
      <c r="AZ9" s="17" t="s">
        <v>243</v>
      </c>
      <c r="BA9" s="17" t="s">
        <v>244</v>
      </c>
      <c r="BB9" s="18"/>
      <c r="BC9" s="18"/>
      <c r="BD9" s="14"/>
      <c r="BE9" s="17">
        <v>3</v>
      </c>
      <c r="BF9" s="17" t="s">
        <v>242</v>
      </c>
      <c r="BG9" s="17">
        <v>3</v>
      </c>
      <c r="BH9" s="17">
        <v>12</v>
      </c>
      <c r="BI9" s="17">
        <v>8</v>
      </c>
      <c r="BJ9" s="17"/>
      <c r="BK9" s="17" t="s">
        <v>243</v>
      </c>
      <c r="BL9" s="17" t="s">
        <v>244</v>
      </c>
      <c r="BM9" s="18"/>
      <c r="BN9" s="18"/>
    </row>
    <row r="10" spans="2:66" s="4" customFormat="1" x14ac:dyDescent="0.3">
      <c r="B10" s="19">
        <v>4</v>
      </c>
      <c r="C10" s="19" t="s">
        <v>249</v>
      </c>
      <c r="D10" s="19">
        <v>3</v>
      </c>
      <c r="E10" s="19">
        <v>8</v>
      </c>
      <c r="F10" s="19">
        <v>8</v>
      </c>
      <c r="G10" s="19"/>
      <c r="H10" s="19" t="s">
        <v>156</v>
      </c>
      <c r="I10" s="19" t="s">
        <v>250</v>
      </c>
      <c r="J10" s="20"/>
      <c r="K10" s="20"/>
      <c r="L10" s="14"/>
      <c r="M10" s="19">
        <v>4</v>
      </c>
      <c r="N10" s="19" t="s">
        <v>249</v>
      </c>
      <c r="O10" s="19">
        <v>3</v>
      </c>
      <c r="P10" s="19">
        <v>8</v>
      </c>
      <c r="Q10" s="19">
        <v>8</v>
      </c>
      <c r="R10" s="19"/>
      <c r="S10" s="19" t="s">
        <v>156</v>
      </c>
      <c r="T10" s="19" t="s">
        <v>250</v>
      </c>
      <c r="U10" s="20"/>
      <c r="V10" s="20"/>
      <c r="W10" s="14"/>
      <c r="X10" s="19">
        <v>4</v>
      </c>
      <c r="Y10" s="19" t="s">
        <v>249</v>
      </c>
      <c r="Z10" s="19">
        <v>3</v>
      </c>
      <c r="AA10" s="19">
        <v>8</v>
      </c>
      <c r="AB10" s="19">
        <v>8</v>
      </c>
      <c r="AC10" s="19"/>
      <c r="AD10" s="19" t="s">
        <v>156</v>
      </c>
      <c r="AE10" s="19" t="s">
        <v>250</v>
      </c>
      <c r="AF10" s="20"/>
      <c r="AG10" s="20"/>
      <c r="AH10" s="14"/>
      <c r="AI10" s="19">
        <v>4</v>
      </c>
      <c r="AJ10" s="19" t="s">
        <v>249</v>
      </c>
      <c r="AK10" s="19">
        <v>3</v>
      </c>
      <c r="AL10" s="19">
        <v>8</v>
      </c>
      <c r="AM10" s="19">
        <v>8</v>
      </c>
      <c r="AN10" s="19"/>
      <c r="AO10" s="19" t="s">
        <v>156</v>
      </c>
      <c r="AP10" s="19" t="s">
        <v>250</v>
      </c>
      <c r="AQ10" s="20"/>
      <c r="AR10" s="20"/>
      <c r="AS10" s="14"/>
      <c r="AT10" s="19">
        <v>4</v>
      </c>
      <c r="AU10" s="19" t="s">
        <v>249</v>
      </c>
      <c r="AV10" s="19">
        <v>3</v>
      </c>
      <c r="AW10" s="19">
        <v>8</v>
      </c>
      <c r="AX10" s="19">
        <v>8</v>
      </c>
      <c r="AY10" s="19"/>
      <c r="AZ10" s="19" t="s">
        <v>156</v>
      </c>
      <c r="BA10" s="19" t="s">
        <v>250</v>
      </c>
      <c r="BB10" s="20"/>
      <c r="BC10" s="20"/>
      <c r="BD10" s="14"/>
      <c r="BE10" s="19">
        <v>4</v>
      </c>
      <c r="BF10" s="19" t="s">
        <v>249</v>
      </c>
      <c r="BG10" s="19">
        <v>3</v>
      </c>
      <c r="BH10" s="19">
        <v>8</v>
      </c>
      <c r="BI10" s="19">
        <v>8</v>
      </c>
      <c r="BJ10" s="19"/>
      <c r="BK10" s="19" t="s">
        <v>156</v>
      </c>
      <c r="BL10" s="19" t="s">
        <v>250</v>
      </c>
      <c r="BM10" s="20"/>
      <c r="BN10" s="20"/>
    </row>
    <row r="11" spans="2:66" s="4" customFormat="1" x14ac:dyDescent="0.3">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row>
    <row r="12" spans="2:66" s="4" customFormat="1" x14ac:dyDescent="0.3">
      <c r="B12" s="15" t="s">
        <v>232</v>
      </c>
      <c r="C12" s="15" t="s">
        <v>233</v>
      </c>
      <c r="D12" s="15" t="s">
        <v>234</v>
      </c>
      <c r="E12" s="15" t="s">
        <v>235</v>
      </c>
      <c r="F12" s="15" t="s">
        <v>236</v>
      </c>
      <c r="G12" s="15" t="s">
        <v>237</v>
      </c>
      <c r="H12" s="15" t="s">
        <v>238</v>
      </c>
      <c r="I12" s="15" t="s">
        <v>151</v>
      </c>
      <c r="J12" s="16" t="s">
        <v>239</v>
      </c>
      <c r="K12" s="16" t="s">
        <v>240</v>
      </c>
      <c r="L12" s="14"/>
      <c r="M12" s="15" t="s">
        <v>232</v>
      </c>
      <c r="N12" s="15" t="s">
        <v>233</v>
      </c>
      <c r="O12" s="15" t="s">
        <v>234</v>
      </c>
      <c r="P12" s="15" t="s">
        <v>235</v>
      </c>
      <c r="Q12" s="15" t="s">
        <v>236</v>
      </c>
      <c r="R12" s="15" t="s">
        <v>237</v>
      </c>
      <c r="S12" s="15" t="s">
        <v>238</v>
      </c>
      <c r="T12" s="15" t="s">
        <v>151</v>
      </c>
      <c r="U12" s="16" t="s">
        <v>239</v>
      </c>
      <c r="V12" s="16" t="s">
        <v>240</v>
      </c>
      <c r="W12" s="14"/>
      <c r="X12" s="15" t="s">
        <v>232</v>
      </c>
      <c r="Y12" s="15" t="s">
        <v>233</v>
      </c>
      <c r="Z12" s="15" t="s">
        <v>234</v>
      </c>
      <c r="AA12" s="15" t="s">
        <v>235</v>
      </c>
      <c r="AB12" s="15" t="s">
        <v>236</v>
      </c>
      <c r="AC12" s="15" t="s">
        <v>237</v>
      </c>
      <c r="AD12" s="15" t="s">
        <v>238</v>
      </c>
      <c r="AE12" s="15" t="s">
        <v>151</v>
      </c>
      <c r="AF12" s="16" t="s">
        <v>239</v>
      </c>
      <c r="AG12" s="16" t="s">
        <v>240</v>
      </c>
      <c r="AH12" s="14"/>
      <c r="AI12" s="15" t="s">
        <v>232</v>
      </c>
      <c r="AJ12" s="15" t="s">
        <v>233</v>
      </c>
      <c r="AK12" s="15" t="s">
        <v>234</v>
      </c>
      <c r="AL12" s="15" t="s">
        <v>235</v>
      </c>
      <c r="AM12" s="15" t="s">
        <v>236</v>
      </c>
      <c r="AN12" s="15" t="s">
        <v>237</v>
      </c>
      <c r="AO12" s="15" t="s">
        <v>238</v>
      </c>
      <c r="AP12" s="15" t="s">
        <v>151</v>
      </c>
      <c r="AQ12" s="16" t="s">
        <v>239</v>
      </c>
      <c r="AR12" s="16" t="s">
        <v>240</v>
      </c>
      <c r="AS12" s="14"/>
      <c r="AT12" s="15" t="s">
        <v>232</v>
      </c>
      <c r="AU12" s="15" t="s">
        <v>233</v>
      </c>
      <c r="AV12" s="15" t="s">
        <v>234</v>
      </c>
      <c r="AW12" s="15" t="s">
        <v>235</v>
      </c>
      <c r="AX12" s="15" t="s">
        <v>236</v>
      </c>
      <c r="AY12" s="15" t="s">
        <v>237</v>
      </c>
      <c r="AZ12" s="15" t="s">
        <v>238</v>
      </c>
      <c r="BA12" s="15" t="s">
        <v>151</v>
      </c>
      <c r="BB12" s="16" t="s">
        <v>239</v>
      </c>
      <c r="BC12" s="16" t="s">
        <v>240</v>
      </c>
      <c r="BD12" s="14"/>
      <c r="BE12" s="15" t="s">
        <v>232</v>
      </c>
      <c r="BF12" s="15" t="s">
        <v>233</v>
      </c>
      <c r="BG12" s="15" t="s">
        <v>234</v>
      </c>
      <c r="BH12" s="15" t="s">
        <v>235</v>
      </c>
      <c r="BI12" s="15" t="s">
        <v>236</v>
      </c>
      <c r="BJ12" s="15" t="s">
        <v>237</v>
      </c>
      <c r="BK12" s="15" t="s">
        <v>238</v>
      </c>
      <c r="BL12" s="15" t="s">
        <v>151</v>
      </c>
      <c r="BM12" s="16" t="s">
        <v>239</v>
      </c>
      <c r="BN12" s="16" t="s">
        <v>240</v>
      </c>
    </row>
    <row r="13" spans="2:66" s="4" customFormat="1" x14ac:dyDescent="0.3">
      <c r="B13" s="17">
        <v>1</v>
      </c>
      <c r="C13" s="17" t="s">
        <v>154</v>
      </c>
      <c r="D13" s="17">
        <v>3</v>
      </c>
      <c r="E13" s="17">
        <v>3</v>
      </c>
      <c r="F13" s="17"/>
      <c r="G13" s="17">
        <v>25</v>
      </c>
      <c r="H13" s="17" t="s">
        <v>255</v>
      </c>
      <c r="I13" s="17" t="s">
        <v>245</v>
      </c>
      <c r="J13" s="18"/>
      <c r="K13" s="18"/>
      <c r="L13" s="14"/>
      <c r="M13" s="17">
        <v>1</v>
      </c>
      <c r="N13" s="17" t="s">
        <v>154</v>
      </c>
      <c r="O13" s="17">
        <v>4</v>
      </c>
      <c r="P13" s="17">
        <v>3</v>
      </c>
      <c r="Q13" s="17"/>
      <c r="R13" s="17">
        <v>26.25</v>
      </c>
      <c r="S13" s="17" t="s">
        <v>255</v>
      </c>
      <c r="T13" s="17" t="s">
        <v>245</v>
      </c>
      <c r="U13" s="18"/>
      <c r="V13" s="18"/>
      <c r="W13" s="14"/>
      <c r="X13" s="17">
        <v>1</v>
      </c>
      <c r="Y13" s="17" t="s">
        <v>154</v>
      </c>
      <c r="Z13" s="17">
        <v>4</v>
      </c>
      <c r="AA13" s="17">
        <v>3</v>
      </c>
      <c r="AB13" s="17"/>
      <c r="AC13" s="17">
        <v>27.5</v>
      </c>
      <c r="AD13" s="17" t="s">
        <v>255</v>
      </c>
      <c r="AE13" s="17" t="s">
        <v>245</v>
      </c>
      <c r="AF13" s="18"/>
      <c r="AG13" s="18"/>
      <c r="AH13" s="14"/>
      <c r="AI13" s="17">
        <v>1</v>
      </c>
      <c r="AJ13" s="17" t="s">
        <v>154</v>
      </c>
      <c r="AK13" s="17">
        <v>4</v>
      </c>
      <c r="AL13" s="17">
        <v>3</v>
      </c>
      <c r="AM13" s="17"/>
      <c r="AN13" s="17">
        <v>28.75</v>
      </c>
      <c r="AO13" s="17" t="s">
        <v>255</v>
      </c>
      <c r="AP13" s="17" t="s">
        <v>245</v>
      </c>
      <c r="AQ13" s="18"/>
      <c r="AR13" s="18"/>
      <c r="AS13" s="14"/>
      <c r="AT13" s="17">
        <v>1</v>
      </c>
      <c r="AU13" s="17" t="s">
        <v>154</v>
      </c>
      <c r="AV13" s="17">
        <v>4</v>
      </c>
      <c r="AW13" s="17">
        <v>3</v>
      </c>
      <c r="AX13" s="17"/>
      <c r="AY13" s="17">
        <v>30</v>
      </c>
      <c r="AZ13" s="17" t="s">
        <v>255</v>
      </c>
      <c r="BA13" s="17" t="s">
        <v>245</v>
      </c>
      <c r="BB13" s="18"/>
      <c r="BC13" s="18"/>
      <c r="BD13" s="14"/>
      <c r="BE13" s="17">
        <v>1</v>
      </c>
      <c r="BF13" s="17" t="s">
        <v>154</v>
      </c>
      <c r="BG13" s="17">
        <v>1</v>
      </c>
      <c r="BH13" s="17" t="s">
        <v>157</v>
      </c>
      <c r="BI13" s="17">
        <v>10</v>
      </c>
      <c r="BJ13" s="17">
        <v>31.25</v>
      </c>
      <c r="BK13" s="17" t="s">
        <v>255</v>
      </c>
      <c r="BL13" s="17" t="s">
        <v>252</v>
      </c>
      <c r="BM13" s="18"/>
      <c r="BN13" s="18"/>
    </row>
    <row r="14" spans="2:66" s="4" customFormat="1" x14ac:dyDescent="0.3">
      <c r="B14" s="19">
        <v>2</v>
      </c>
      <c r="C14" s="19" t="s">
        <v>155</v>
      </c>
      <c r="D14" s="19">
        <v>3</v>
      </c>
      <c r="E14" s="19">
        <v>3</v>
      </c>
      <c r="F14" s="19"/>
      <c r="G14" s="19">
        <v>107.5</v>
      </c>
      <c r="H14" s="19" t="s">
        <v>255</v>
      </c>
      <c r="I14" s="19" t="s">
        <v>246</v>
      </c>
      <c r="J14" s="20"/>
      <c r="K14" s="20"/>
      <c r="L14" s="14"/>
      <c r="M14" s="19">
        <v>2</v>
      </c>
      <c r="N14" s="19" t="s">
        <v>155</v>
      </c>
      <c r="O14" s="19">
        <v>4</v>
      </c>
      <c r="P14" s="19">
        <v>3</v>
      </c>
      <c r="Q14" s="19"/>
      <c r="R14" s="19">
        <v>112.5</v>
      </c>
      <c r="S14" s="19" t="s">
        <v>255</v>
      </c>
      <c r="T14" s="19" t="s">
        <v>246</v>
      </c>
      <c r="U14" s="20"/>
      <c r="V14" s="20"/>
      <c r="W14" s="14"/>
      <c r="X14" s="19">
        <v>2</v>
      </c>
      <c r="Y14" s="19" t="s">
        <v>155</v>
      </c>
      <c r="Z14" s="19">
        <v>4</v>
      </c>
      <c r="AA14" s="19">
        <v>3</v>
      </c>
      <c r="AB14" s="19"/>
      <c r="AC14" s="19">
        <v>117.5</v>
      </c>
      <c r="AD14" s="19" t="s">
        <v>255</v>
      </c>
      <c r="AE14" s="19" t="s">
        <v>246</v>
      </c>
      <c r="AF14" s="20"/>
      <c r="AG14" s="20"/>
      <c r="AH14" s="14"/>
      <c r="AI14" s="19">
        <v>2</v>
      </c>
      <c r="AJ14" s="19" t="s">
        <v>155</v>
      </c>
      <c r="AK14" s="19">
        <v>4</v>
      </c>
      <c r="AL14" s="19">
        <v>3</v>
      </c>
      <c r="AM14" s="19"/>
      <c r="AN14" s="19">
        <v>122.5</v>
      </c>
      <c r="AO14" s="19" t="s">
        <v>255</v>
      </c>
      <c r="AP14" s="19" t="s">
        <v>246</v>
      </c>
      <c r="AQ14" s="20"/>
      <c r="AR14" s="20"/>
      <c r="AS14" s="14"/>
      <c r="AT14" s="19">
        <v>2</v>
      </c>
      <c r="AU14" s="19" t="s">
        <v>155</v>
      </c>
      <c r="AV14" s="19">
        <v>4</v>
      </c>
      <c r="AW14" s="19">
        <v>3</v>
      </c>
      <c r="AX14" s="19"/>
      <c r="AY14" s="19">
        <v>127.5</v>
      </c>
      <c r="AZ14" s="19" t="s">
        <v>255</v>
      </c>
      <c r="BA14" s="19" t="s">
        <v>246</v>
      </c>
      <c r="BB14" s="20"/>
      <c r="BC14" s="20"/>
      <c r="BD14" s="14"/>
      <c r="BE14" s="19">
        <v>2</v>
      </c>
      <c r="BF14" s="19" t="s">
        <v>155</v>
      </c>
      <c r="BG14" s="19">
        <v>1</v>
      </c>
      <c r="BH14" s="19" t="s">
        <v>157</v>
      </c>
      <c r="BI14" s="19">
        <v>10</v>
      </c>
      <c r="BJ14" s="19">
        <v>130</v>
      </c>
      <c r="BK14" s="19" t="s">
        <v>255</v>
      </c>
      <c r="BL14" s="19" t="s">
        <v>252</v>
      </c>
      <c r="BM14" s="20"/>
      <c r="BN14" s="20"/>
    </row>
    <row r="15" spans="2:66" s="4" customFormat="1" x14ac:dyDescent="0.3">
      <c r="B15" s="17">
        <v>3</v>
      </c>
      <c r="C15" s="17" t="s">
        <v>247</v>
      </c>
      <c r="D15" s="17">
        <v>3</v>
      </c>
      <c r="E15" s="17">
        <v>8</v>
      </c>
      <c r="F15" s="17">
        <v>8</v>
      </c>
      <c r="G15" s="17"/>
      <c r="H15" s="17" t="s">
        <v>156</v>
      </c>
      <c r="I15" s="17" t="s">
        <v>248</v>
      </c>
      <c r="J15" s="18"/>
      <c r="K15" s="18"/>
      <c r="L15" s="14"/>
      <c r="M15" s="17">
        <v>3</v>
      </c>
      <c r="N15" s="17" t="s">
        <v>247</v>
      </c>
      <c r="O15" s="17">
        <v>3</v>
      </c>
      <c r="P15" s="17">
        <v>8</v>
      </c>
      <c r="Q15" s="17">
        <v>8</v>
      </c>
      <c r="R15" s="17"/>
      <c r="S15" s="17" t="s">
        <v>156</v>
      </c>
      <c r="T15" s="17" t="s">
        <v>248</v>
      </c>
      <c r="U15" s="18"/>
      <c r="V15" s="18"/>
      <c r="W15" s="14"/>
      <c r="X15" s="17">
        <v>3</v>
      </c>
      <c r="Y15" s="17" t="s">
        <v>247</v>
      </c>
      <c r="Z15" s="17">
        <v>3</v>
      </c>
      <c r="AA15" s="17">
        <v>8</v>
      </c>
      <c r="AB15" s="17">
        <v>8</v>
      </c>
      <c r="AC15" s="17"/>
      <c r="AD15" s="17" t="s">
        <v>156</v>
      </c>
      <c r="AE15" s="17" t="s">
        <v>248</v>
      </c>
      <c r="AF15" s="18"/>
      <c r="AG15" s="18"/>
      <c r="AH15" s="14"/>
      <c r="AI15" s="17">
        <v>3</v>
      </c>
      <c r="AJ15" s="17" t="s">
        <v>247</v>
      </c>
      <c r="AK15" s="17">
        <v>3</v>
      </c>
      <c r="AL15" s="17">
        <v>8</v>
      </c>
      <c r="AM15" s="17">
        <v>8</v>
      </c>
      <c r="AN15" s="17"/>
      <c r="AO15" s="17" t="s">
        <v>156</v>
      </c>
      <c r="AP15" s="17" t="s">
        <v>248</v>
      </c>
      <c r="AQ15" s="18"/>
      <c r="AR15" s="18"/>
      <c r="AS15" s="14"/>
      <c r="AT15" s="17">
        <v>3</v>
      </c>
      <c r="AU15" s="17" t="s">
        <v>247</v>
      </c>
      <c r="AV15" s="17">
        <v>3</v>
      </c>
      <c r="AW15" s="17">
        <v>8</v>
      </c>
      <c r="AX15" s="17">
        <v>8</v>
      </c>
      <c r="AY15" s="17"/>
      <c r="AZ15" s="17" t="s">
        <v>156</v>
      </c>
      <c r="BA15" s="17" t="s">
        <v>248</v>
      </c>
      <c r="BB15" s="18"/>
      <c r="BC15" s="18"/>
      <c r="BD15" s="14"/>
      <c r="BE15" s="17">
        <v>3</v>
      </c>
      <c r="BF15" s="17" t="s">
        <v>247</v>
      </c>
      <c r="BG15" s="17">
        <v>3</v>
      </c>
      <c r="BH15" s="17">
        <v>8</v>
      </c>
      <c r="BI15" s="17">
        <v>8</v>
      </c>
      <c r="BJ15" s="17"/>
      <c r="BK15" s="17" t="s">
        <v>156</v>
      </c>
      <c r="BL15" s="17" t="s">
        <v>248</v>
      </c>
      <c r="BM15" s="18"/>
      <c r="BN15" s="18"/>
    </row>
    <row r="16" spans="2:66" s="4" customFormat="1" ht="28.8" x14ac:dyDescent="0.3">
      <c r="B16" s="19">
        <v>4</v>
      </c>
      <c r="C16" s="19" t="s">
        <v>251</v>
      </c>
      <c r="D16" s="19">
        <v>3</v>
      </c>
      <c r="E16" s="19">
        <v>10</v>
      </c>
      <c r="F16" s="19">
        <v>8</v>
      </c>
      <c r="G16" s="19"/>
      <c r="H16" s="19" t="s">
        <v>257</v>
      </c>
      <c r="I16" s="19" t="s">
        <v>193</v>
      </c>
      <c r="J16" s="20"/>
      <c r="K16" s="20"/>
      <c r="L16" s="14"/>
      <c r="M16" s="19">
        <v>4</v>
      </c>
      <c r="N16" s="19" t="s">
        <v>251</v>
      </c>
      <c r="O16" s="19">
        <v>3</v>
      </c>
      <c r="P16" s="19">
        <v>10</v>
      </c>
      <c r="Q16" s="19">
        <v>8</v>
      </c>
      <c r="R16" s="19"/>
      <c r="S16" s="19" t="s">
        <v>257</v>
      </c>
      <c r="T16" s="19" t="s">
        <v>193</v>
      </c>
      <c r="U16" s="20"/>
      <c r="V16" s="20"/>
      <c r="W16" s="14"/>
      <c r="X16" s="19">
        <v>4</v>
      </c>
      <c r="Y16" s="19" t="s">
        <v>251</v>
      </c>
      <c r="Z16" s="19">
        <v>3</v>
      </c>
      <c r="AA16" s="19">
        <v>10</v>
      </c>
      <c r="AB16" s="19">
        <v>8</v>
      </c>
      <c r="AC16" s="19"/>
      <c r="AD16" s="19" t="s">
        <v>257</v>
      </c>
      <c r="AE16" s="19" t="s">
        <v>193</v>
      </c>
      <c r="AF16" s="20"/>
      <c r="AG16" s="20"/>
      <c r="AH16" s="14"/>
      <c r="AI16" s="19">
        <v>4</v>
      </c>
      <c r="AJ16" s="19" t="s">
        <v>251</v>
      </c>
      <c r="AK16" s="19">
        <v>3</v>
      </c>
      <c r="AL16" s="19">
        <v>10</v>
      </c>
      <c r="AM16" s="19">
        <v>8</v>
      </c>
      <c r="AN16" s="19"/>
      <c r="AO16" s="19" t="s">
        <v>257</v>
      </c>
      <c r="AP16" s="19" t="s">
        <v>193</v>
      </c>
      <c r="AQ16" s="20"/>
      <c r="AR16" s="20"/>
      <c r="AS16" s="14"/>
      <c r="AT16" s="19">
        <v>4</v>
      </c>
      <c r="AU16" s="19" t="s">
        <v>251</v>
      </c>
      <c r="AV16" s="19">
        <v>3</v>
      </c>
      <c r="AW16" s="19">
        <v>10</v>
      </c>
      <c r="AX16" s="19">
        <v>8</v>
      </c>
      <c r="AY16" s="19"/>
      <c r="AZ16" s="19" t="s">
        <v>257</v>
      </c>
      <c r="BA16" s="19" t="s">
        <v>193</v>
      </c>
      <c r="BB16" s="20"/>
      <c r="BC16" s="20"/>
      <c r="BD16" s="14"/>
      <c r="BE16" s="19">
        <v>4</v>
      </c>
      <c r="BF16" s="19" t="s">
        <v>251</v>
      </c>
      <c r="BG16" s="19">
        <v>3</v>
      </c>
      <c r="BH16" s="19">
        <v>10</v>
      </c>
      <c r="BI16" s="19">
        <v>8</v>
      </c>
      <c r="BJ16" s="19"/>
      <c r="BK16" s="19" t="s">
        <v>257</v>
      </c>
      <c r="BL16" s="19" t="s">
        <v>193</v>
      </c>
      <c r="BM16" s="20"/>
      <c r="BN16" s="20"/>
    </row>
    <row r="17" spans="2:66" s="4" customFormat="1" x14ac:dyDescent="0.3">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row>
    <row r="18" spans="2:66" s="4" customFormat="1" x14ac:dyDescent="0.3">
      <c r="B18" s="15" t="s">
        <v>232</v>
      </c>
      <c r="C18" s="15" t="s">
        <v>233</v>
      </c>
      <c r="D18" s="15" t="s">
        <v>234</v>
      </c>
      <c r="E18" s="15" t="s">
        <v>235</v>
      </c>
      <c r="F18" s="15" t="s">
        <v>236</v>
      </c>
      <c r="G18" s="15" t="s">
        <v>237</v>
      </c>
      <c r="H18" s="15" t="s">
        <v>238</v>
      </c>
      <c r="I18" s="15" t="s">
        <v>151</v>
      </c>
      <c r="J18" s="16" t="s">
        <v>239</v>
      </c>
      <c r="K18" s="16" t="s">
        <v>240</v>
      </c>
      <c r="L18" s="14"/>
      <c r="M18" s="15" t="s">
        <v>232</v>
      </c>
      <c r="N18" s="15" t="s">
        <v>233</v>
      </c>
      <c r="O18" s="15" t="s">
        <v>234</v>
      </c>
      <c r="P18" s="15" t="s">
        <v>235</v>
      </c>
      <c r="Q18" s="15" t="s">
        <v>236</v>
      </c>
      <c r="R18" s="15" t="s">
        <v>237</v>
      </c>
      <c r="S18" s="15" t="s">
        <v>238</v>
      </c>
      <c r="T18" s="15" t="s">
        <v>151</v>
      </c>
      <c r="U18" s="16" t="s">
        <v>239</v>
      </c>
      <c r="V18" s="16" t="s">
        <v>240</v>
      </c>
      <c r="W18" s="14"/>
      <c r="X18" s="15" t="s">
        <v>232</v>
      </c>
      <c r="Y18" s="15" t="s">
        <v>233</v>
      </c>
      <c r="Z18" s="15" t="s">
        <v>234</v>
      </c>
      <c r="AA18" s="15" t="s">
        <v>235</v>
      </c>
      <c r="AB18" s="15" t="s">
        <v>236</v>
      </c>
      <c r="AC18" s="15" t="s">
        <v>237</v>
      </c>
      <c r="AD18" s="15" t="s">
        <v>238</v>
      </c>
      <c r="AE18" s="15" t="s">
        <v>151</v>
      </c>
      <c r="AF18" s="16" t="s">
        <v>239</v>
      </c>
      <c r="AG18" s="16" t="s">
        <v>240</v>
      </c>
      <c r="AH18" s="14"/>
      <c r="AI18" s="15" t="s">
        <v>232</v>
      </c>
      <c r="AJ18" s="15" t="s">
        <v>233</v>
      </c>
      <c r="AK18" s="15" t="s">
        <v>234</v>
      </c>
      <c r="AL18" s="15" t="s">
        <v>235</v>
      </c>
      <c r="AM18" s="15" t="s">
        <v>236</v>
      </c>
      <c r="AN18" s="15" t="s">
        <v>237</v>
      </c>
      <c r="AO18" s="15" t="s">
        <v>238</v>
      </c>
      <c r="AP18" s="15" t="s">
        <v>151</v>
      </c>
      <c r="AQ18" s="16" t="s">
        <v>239</v>
      </c>
      <c r="AR18" s="16" t="s">
        <v>240</v>
      </c>
      <c r="AS18" s="14"/>
      <c r="AT18" s="15" t="s">
        <v>232</v>
      </c>
      <c r="AU18" s="15" t="s">
        <v>233</v>
      </c>
      <c r="AV18" s="15" t="s">
        <v>234</v>
      </c>
      <c r="AW18" s="15" t="s">
        <v>235</v>
      </c>
      <c r="AX18" s="15" t="s">
        <v>236</v>
      </c>
      <c r="AY18" s="15" t="s">
        <v>237</v>
      </c>
      <c r="AZ18" s="15" t="s">
        <v>238</v>
      </c>
      <c r="BA18" s="15" t="s">
        <v>151</v>
      </c>
      <c r="BB18" s="16" t="s">
        <v>239</v>
      </c>
      <c r="BC18" s="16" t="s">
        <v>240</v>
      </c>
      <c r="BD18" s="14"/>
      <c r="BE18" s="15" t="s">
        <v>232</v>
      </c>
      <c r="BF18" s="15" t="s">
        <v>233</v>
      </c>
      <c r="BG18" s="15" t="s">
        <v>234</v>
      </c>
      <c r="BH18" s="15" t="s">
        <v>235</v>
      </c>
      <c r="BI18" s="15" t="s">
        <v>236</v>
      </c>
      <c r="BJ18" s="15" t="s">
        <v>237</v>
      </c>
      <c r="BK18" s="15" t="s">
        <v>238</v>
      </c>
      <c r="BL18" s="15" t="s">
        <v>151</v>
      </c>
      <c r="BM18" s="16" t="s">
        <v>239</v>
      </c>
      <c r="BN18" s="16" t="s">
        <v>240</v>
      </c>
    </row>
    <row r="19" spans="2:66" s="4" customFormat="1" ht="28.8" x14ac:dyDescent="0.3">
      <c r="B19" s="17">
        <v>1</v>
      </c>
      <c r="C19" s="17" t="s">
        <v>260</v>
      </c>
      <c r="D19" s="17">
        <v>3</v>
      </c>
      <c r="E19" s="17">
        <v>2</v>
      </c>
      <c r="F19" s="17"/>
      <c r="G19" s="17">
        <v>0</v>
      </c>
      <c r="H19" s="17" t="s">
        <v>153</v>
      </c>
      <c r="I19" s="17" t="s">
        <v>259</v>
      </c>
      <c r="J19" s="18"/>
      <c r="K19" s="18"/>
      <c r="L19" s="14"/>
      <c r="M19" s="17">
        <v>1</v>
      </c>
      <c r="N19" s="17" t="s">
        <v>260</v>
      </c>
      <c r="O19" s="17">
        <v>4</v>
      </c>
      <c r="P19" s="17">
        <v>2</v>
      </c>
      <c r="Q19" s="17"/>
      <c r="R19" s="17">
        <v>0</v>
      </c>
      <c r="S19" s="17" t="s">
        <v>153</v>
      </c>
      <c r="T19" s="17" t="s">
        <v>259</v>
      </c>
      <c r="U19" s="18"/>
      <c r="V19" s="18"/>
      <c r="W19" s="14"/>
      <c r="X19" s="17">
        <v>1</v>
      </c>
      <c r="Y19" s="17" t="s">
        <v>260</v>
      </c>
      <c r="Z19" s="17">
        <v>4</v>
      </c>
      <c r="AA19" s="17">
        <v>2</v>
      </c>
      <c r="AB19" s="17"/>
      <c r="AC19" s="17">
        <v>0</v>
      </c>
      <c r="AD19" s="17" t="s">
        <v>153</v>
      </c>
      <c r="AE19" s="17" t="s">
        <v>259</v>
      </c>
      <c r="AF19" s="18"/>
      <c r="AG19" s="18"/>
      <c r="AH19" s="14"/>
      <c r="AI19" s="17">
        <v>1</v>
      </c>
      <c r="AJ19" s="17" t="s">
        <v>260</v>
      </c>
      <c r="AK19" s="17">
        <v>4</v>
      </c>
      <c r="AL19" s="17">
        <v>2</v>
      </c>
      <c r="AM19" s="17"/>
      <c r="AN19" s="17">
        <v>0</v>
      </c>
      <c r="AO19" s="17" t="s">
        <v>153</v>
      </c>
      <c r="AP19" s="17" t="s">
        <v>259</v>
      </c>
      <c r="AQ19" s="18"/>
      <c r="AR19" s="18"/>
      <c r="AS19" s="14"/>
      <c r="AT19" s="17">
        <v>1</v>
      </c>
      <c r="AU19" s="17" t="s">
        <v>260</v>
      </c>
      <c r="AV19" s="17">
        <v>4</v>
      </c>
      <c r="AW19" s="17">
        <v>2</v>
      </c>
      <c r="AX19" s="17"/>
      <c r="AY19" s="17">
        <v>0</v>
      </c>
      <c r="AZ19" s="17" t="s">
        <v>153</v>
      </c>
      <c r="BA19" s="17" t="s">
        <v>259</v>
      </c>
      <c r="BB19" s="18"/>
      <c r="BC19" s="18"/>
      <c r="BD19" s="14"/>
      <c r="BE19" s="17">
        <v>1</v>
      </c>
      <c r="BF19" s="17" t="s">
        <v>261</v>
      </c>
      <c r="BG19" s="17">
        <v>1</v>
      </c>
      <c r="BH19" s="17" t="s">
        <v>157</v>
      </c>
      <c r="BI19" s="17">
        <v>10</v>
      </c>
      <c r="BJ19" s="17">
        <v>0</v>
      </c>
      <c r="BK19" s="17" t="s">
        <v>153</v>
      </c>
      <c r="BL19" s="17" t="s">
        <v>262</v>
      </c>
      <c r="BM19" s="18"/>
      <c r="BN19" s="18"/>
    </row>
    <row r="20" spans="2:66" s="4" customFormat="1" x14ac:dyDescent="0.3">
      <c r="B20" s="19">
        <v>2</v>
      </c>
      <c r="C20" s="19" t="s">
        <v>254</v>
      </c>
      <c r="D20" s="19">
        <v>3</v>
      </c>
      <c r="E20" s="19">
        <v>3</v>
      </c>
      <c r="F20" s="19"/>
      <c r="G20" s="19">
        <v>15</v>
      </c>
      <c r="H20" s="19" t="s">
        <v>153</v>
      </c>
      <c r="I20" s="19" t="s">
        <v>241</v>
      </c>
      <c r="J20" s="20"/>
      <c r="K20" s="20"/>
      <c r="L20" s="14"/>
      <c r="M20" s="19">
        <v>2</v>
      </c>
      <c r="N20" s="19" t="s">
        <v>254</v>
      </c>
      <c r="O20" s="19">
        <v>4</v>
      </c>
      <c r="P20" s="19">
        <v>3</v>
      </c>
      <c r="Q20" s="19"/>
      <c r="R20" s="19">
        <v>16.25</v>
      </c>
      <c r="S20" s="19" t="s">
        <v>153</v>
      </c>
      <c r="T20" s="19" t="s">
        <v>241</v>
      </c>
      <c r="U20" s="20"/>
      <c r="V20" s="20"/>
      <c r="W20" s="14"/>
      <c r="X20" s="19">
        <v>2</v>
      </c>
      <c r="Y20" s="19" t="s">
        <v>254</v>
      </c>
      <c r="Z20" s="19">
        <v>4</v>
      </c>
      <c r="AA20" s="19">
        <v>3</v>
      </c>
      <c r="AB20" s="19"/>
      <c r="AC20" s="19">
        <v>16.25</v>
      </c>
      <c r="AD20" s="19" t="s">
        <v>153</v>
      </c>
      <c r="AE20" s="19" t="s">
        <v>241</v>
      </c>
      <c r="AF20" s="20"/>
      <c r="AG20" s="20"/>
      <c r="AH20" s="14"/>
      <c r="AI20" s="19">
        <v>2</v>
      </c>
      <c r="AJ20" s="19" t="s">
        <v>254</v>
      </c>
      <c r="AK20" s="19">
        <v>4</v>
      </c>
      <c r="AL20" s="19">
        <v>3</v>
      </c>
      <c r="AM20" s="19"/>
      <c r="AN20" s="19">
        <v>18.75</v>
      </c>
      <c r="AO20" s="19" t="s">
        <v>153</v>
      </c>
      <c r="AP20" s="19" t="s">
        <v>241</v>
      </c>
      <c r="AQ20" s="20"/>
      <c r="AR20" s="20"/>
      <c r="AS20" s="14"/>
      <c r="AT20" s="19">
        <v>2</v>
      </c>
      <c r="AU20" s="19" t="s">
        <v>254</v>
      </c>
      <c r="AV20" s="19">
        <v>4</v>
      </c>
      <c r="AW20" s="19">
        <v>3</v>
      </c>
      <c r="AX20" s="19"/>
      <c r="AY20" s="19">
        <v>20</v>
      </c>
      <c r="AZ20" s="19" t="s">
        <v>153</v>
      </c>
      <c r="BA20" s="19" t="s">
        <v>241</v>
      </c>
      <c r="BB20" s="20"/>
      <c r="BC20" s="20"/>
      <c r="BD20" s="14"/>
      <c r="BE20" s="19">
        <v>2</v>
      </c>
      <c r="BF20" s="19" t="s">
        <v>254</v>
      </c>
      <c r="BG20" s="19">
        <v>1</v>
      </c>
      <c r="BH20" s="19" t="s">
        <v>157</v>
      </c>
      <c r="BI20" s="19">
        <v>10</v>
      </c>
      <c r="BJ20" s="19">
        <v>22.5</v>
      </c>
      <c r="BK20" s="19" t="s">
        <v>153</v>
      </c>
      <c r="BL20" s="19" t="s">
        <v>252</v>
      </c>
      <c r="BM20" s="20"/>
      <c r="BN20" s="20"/>
    </row>
    <row r="21" spans="2:66" s="4" customFormat="1" x14ac:dyDescent="0.3">
      <c r="B21" s="17">
        <v>3</v>
      </c>
      <c r="C21" s="17" t="s">
        <v>154</v>
      </c>
      <c r="D21" s="17">
        <v>3</v>
      </c>
      <c r="E21" s="17">
        <v>8</v>
      </c>
      <c r="F21" s="17"/>
      <c r="G21" s="17">
        <v>17.5</v>
      </c>
      <c r="H21" s="17" t="s">
        <v>255</v>
      </c>
      <c r="I21" s="17" t="s">
        <v>245</v>
      </c>
      <c r="J21" s="18"/>
      <c r="K21" s="18"/>
      <c r="L21" s="14"/>
      <c r="M21" s="17">
        <v>3</v>
      </c>
      <c r="N21" s="17" t="s">
        <v>154</v>
      </c>
      <c r="O21" s="17">
        <v>4</v>
      </c>
      <c r="P21" s="17">
        <v>8</v>
      </c>
      <c r="Q21" s="17"/>
      <c r="R21" s="17">
        <v>18.75</v>
      </c>
      <c r="S21" s="17" t="s">
        <v>255</v>
      </c>
      <c r="T21" s="17" t="s">
        <v>245</v>
      </c>
      <c r="U21" s="18"/>
      <c r="V21" s="18"/>
      <c r="W21" s="14"/>
      <c r="X21" s="17">
        <v>3</v>
      </c>
      <c r="Y21" s="17" t="s">
        <v>154</v>
      </c>
      <c r="Z21" s="17">
        <v>4</v>
      </c>
      <c r="AA21" s="17">
        <v>8</v>
      </c>
      <c r="AB21" s="17"/>
      <c r="AC21" s="17">
        <v>20</v>
      </c>
      <c r="AD21" s="17" t="s">
        <v>255</v>
      </c>
      <c r="AE21" s="17" t="s">
        <v>245</v>
      </c>
      <c r="AF21" s="18"/>
      <c r="AG21" s="18"/>
      <c r="AH21" s="14"/>
      <c r="AI21" s="17">
        <v>3</v>
      </c>
      <c r="AJ21" s="17" t="s">
        <v>154</v>
      </c>
      <c r="AK21" s="17">
        <v>4</v>
      </c>
      <c r="AL21" s="17">
        <v>8</v>
      </c>
      <c r="AM21" s="17"/>
      <c r="AN21" s="17">
        <v>21.25</v>
      </c>
      <c r="AO21" s="17" t="s">
        <v>255</v>
      </c>
      <c r="AP21" s="17" t="s">
        <v>245</v>
      </c>
      <c r="AQ21" s="18"/>
      <c r="AR21" s="18"/>
      <c r="AS21" s="14"/>
      <c r="AT21" s="17">
        <v>3</v>
      </c>
      <c r="AU21" s="17" t="s">
        <v>154</v>
      </c>
      <c r="AV21" s="17">
        <v>4</v>
      </c>
      <c r="AW21" s="17">
        <v>8</v>
      </c>
      <c r="AX21" s="17"/>
      <c r="AY21" s="17">
        <v>22.5</v>
      </c>
      <c r="AZ21" s="17" t="s">
        <v>255</v>
      </c>
      <c r="BA21" s="17" t="s">
        <v>245</v>
      </c>
      <c r="BB21" s="18"/>
      <c r="BC21" s="18"/>
      <c r="BD21" s="14"/>
      <c r="BE21" s="17">
        <v>3</v>
      </c>
      <c r="BF21" s="17" t="s">
        <v>154</v>
      </c>
      <c r="BG21" s="17">
        <v>4</v>
      </c>
      <c r="BH21" s="17">
        <v>8</v>
      </c>
      <c r="BI21" s="17"/>
      <c r="BJ21" s="17">
        <v>22.5</v>
      </c>
      <c r="BK21" s="17" t="s">
        <v>255</v>
      </c>
      <c r="BL21" s="17" t="s">
        <v>245</v>
      </c>
      <c r="BM21" s="18"/>
      <c r="BN21" s="18"/>
    </row>
    <row r="22" spans="2:66" s="4" customFormat="1" x14ac:dyDescent="0.3">
      <c r="B22" s="19">
        <v>4</v>
      </c>
      <c r="C22" s="19" t="s">
        <v>155</v>
      </c>
      <c r="D22" s="19">
        <v>3</v>
      </c>
      <c r="E22" s="19">
        <v>8</v>
      </c>
      <c r="F22" s="19"/>
      <c r="G22" s="19">
        <v>90</v>
      </c>
      <c r="H22" s="19" t="s">
        <v>255</v>
      </c>
      <c r="I22" s="19" t="s">
        <v>246</v>
      </c>
      <c r="J22" s="20"/>
      <c r="K22" s="20"/>
      <c r="L22" s="14"/>
      <c r="M22" s="19">
        <v>4</v>
      </c>
      <c r="N22" s="19" t="s">
        <v>155</v>
      </c>
      <c r="O22" s="19">
        <v>4</v>
      </c>
      <c r="P22" s="19">
        <v>8</v>
      </c>
      <c r="Q22" s="19"/>
      <c r="R22" s="19">
        <v>95</v>
      </c>
      <c r="S22" s="19" t="s">
        <v>255</v>
      </c>
      <c r="T22" s="19" t="s">
        <v>246</v>
      </c>
      <c r="U22" s="20"/>
      <c r="V22" s="20"/>
      <c r="W22" s="14"/>
      <c r="X22" s="19">
        <v>4</v>
      </c>
      <c r="Y22" s="19" t="s">
        <v>155</v>
      </c>
      <c r="Z22" s="19">
        <v>4</v>
      </c>
      <c r="AA22" s="19">
        <v>8</v>
      </c>
      <c r="AB22" s="19"/>
      <c r="AC22" s="19">
        <v>97.5</v>
      </c>
      <c r="AD22" s="19" t="s">
        <v>255</v>
      </c>
      <c r="AE22" s="19" t="s">
        <v>246</v>
      </c>
      <c r="AF22" s="20"/>
      <c r="AG22" s="20"/>
      <c r="AH22" s="14"/>
      <c r="AI22" s="19">
        <v>4</v>
      </c>
      <c r="AJ22" s="19" t="s">
        <v>155</v>
      </c>
      <c r="AK22" s="19">
        <v>4</v>
      </c>
      <c r="AL22" s="19">
        <v>8</v>
      </c>
      <c r="AM22" s="19"/>
      <c r="AN22" s="19">
        <v>102.5</v>
      </c>
      <c r="AO22" s="19" t="s">
        <v>255</v>
      </c>
      <c r="AP22" s="19" t="s">
        <v>246</v>
      </c>
      <c r="AQ22" s="20"/>
      <c r="AR22" s="20"/>
      <c r="AS22" s="14"/>
      <c r="AT22" s="19">
        <v>4</v>
      </c>
      <c r="AU22" s="19" t="s">
        <v>155</v>
      </c>
      <c r="AV22" s="19">
        <v>4</v>
      </c>
      <c r="AW22" s="19">
        <v>8</v>
      </c>
      <c r="AX22" s="19"/>
      <c r="AY22" s="19">
        <v>105</v>
      </c>
      <c r="AZ22" s="19" t="s">
        <v>255</v>
      </c>
      <c r="BA22" s="19" t="s">
        <v>246</v>
      </c>
      <c r="BB22" s="20"/>
      <c r="BC22" s="20"/>
      <c r="BD22" s="14"/>
      <c r="BE22" s="19">
        <v>4</v>
      </c>
      <c r="BF22" s="19" t="s">
        <v>155</v>
      </c>
      <c r="BG22" s="19">
        <v>4</v>
      </c>
      <c r="BH22" s="19">
        <v>8</v>
      </c>
      <c r="BI22" s="19"/>
      <c r="BJ22" s="19">
        <v>107.5</v>
      </c>
      <c r="BK22" s="19" t="s">
        <v>255</v>
      </c>
      <c r="BL22" s="19" t="s">
        <v>246</v>
      </c>
      <c r="BM22" s="20"/>
      <c r="BN22" s="20"/>
    </row>
    <row r="23" spans="2:66" s="4" customFormat="1" x14ac:dyDescent="0.3">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row>
    <row r="24" spans="2:66" s="4" customFormat="1" x14ac:dyDescent="0.3">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row>
    <row r="25" spans="2:66" s="4" customFormat="1" x14ac:dyDescent="0.3">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row>
    <row r="26" spans="2:66" s="4" customFormat="1" x14ac:dyDescent="0.3">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row>
    <row r="27" spans="2:66" s="4" customFormat="1" x14ac:dyDescent="0.3">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row>
    <row r="28" spans="2:66" s="4" customFormat="1" x14ac:dyDescent="0.3">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row>
    <row r="29" spans="2:66" s="4" customFormat="1" x14ac:dyDescent="0.3">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row>
    <row r="30" spans="2:66" s="4" customFormat="1" x14ac:dyDescent="0.3">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row>
    <row r="31" spans="2:66" s="4" customFormat="1" x14ac:dyDescent="0.3">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row>
    <row r="32" spans="2:66" s="4" customFormat="1" x14ac:dyDescent="0.3">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row>
    <row r="33" spans="2:66" s="4" customFormat="1" x14ac:dyDescent="0.3">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row>
    <row r="34" spans="2:66" s="4" customFormat="1" x14ac:dyDescent="0.3">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row>
    <row r="35" spans="2:66" s="4" customFormat="1" x14ac:dyDescent="0.3">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row>
    <row r="36" spans="2:66" s="4" customFormat="1" x14ac:dyDescent="0.3">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row>
    <row r="37" spans="2:66" s="4" customFormat="1" x14ac:dyDescent="0.3">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row>
    <row r="38" spans="2:66" s="4" customFormat="1" x14ac:dyDescent="0.3">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row>
    <row r="39" spans="2:66" s="4" customFormat="1" x14ac:dyDescent="0.3">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row>
    <row r="40" spans="2:66" s="4" customFormat="1" x14ac:dyDescent="0.3">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row>
    <row r="41" spans="2:66" s="4" customFormat="1" x14ac:dyDescent="0.3">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row>
    <row r="42" spans="2:66" s="4" customFormat="1" x14ac:dyDescent="0.3">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row>
    <row r="43" spans="2:66" s="4" customFormat="1" x14ac:dyDescent="0.3">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row>
    <row r="44" spans="2:66" s="4" customFormat="1" x14ac:dyDescent="0.3">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row>
    <row r="45" spans="2:66" s="4" customFormat="1" x14ac:dyDescent="0.3">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row>
    <row r="46" spans="2:66" s="4" customFormat="1" x14ac:dyDescent="0.3">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row>
    <row r="47" spans="2:66" s="4" customFormat="1" x14ac:dyDescent="0.3">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row>
    <row r="48" spans="2:66" s="4" customFormat="1" x14ac:dyDescent="0.3">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row>
    <row r="49" spans="2:66" s="4" customFormat="1" x14ac:dyDescent="0.3">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row>
    <row r="50" spans="2:66" s="4" customFormat="1" x14ac:dyDescent="0.3">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row>
    <row r="51" spans="2:66" s="4" customFormat="1" x14ac:dyDescent="0.3">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row>
    <row r="52" spans="2:66" s="4" customFormat="1" x14ac:dyDescent="0.3">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row>
    <row r="53" spans="2:66" s="4" customFormat="1" x14ac:dyDescent="0.3">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row>
    <row r="54" spans="2:66" s="4" customFormat="1" x14ac:dyDescent="0.3">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row>
    <row r="55" spans="2:66" s="4" customFormat="1" x14ac:dyDescent="0.3">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row>
    <row r="56" spans="2:66" s="4" customFormat="1" x14ac:dyDescent="0.3">
      <c r="B56" s="14"/>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row>
    <row r="57" spans="2:66" s="4" customFormat="1" x14ac:dyDescent="0.3">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row>
    <row r="58" spans="2:66" s="4" customFormat="1" x14ac:dyDescent="0.3">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row>
    <row r="59" spans="2:66" s="4" customFormat="1" x14ac:dyDescent="0.3">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row>
    <row r="60" spans="2:66" s="4" customFormat="1" x14ac:dyDescent="0.3">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row>
    <row r="61" spans="2:66" s="4" customFormat="1" x14ac:dyDescent="0.3">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row>
    <row r="62" spans="2:66" s="4" customFormat="1" x14ac:dyDescent="0.3">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row>
    <row r="63" spans="2:66" s="4" customFormat="1" x14ac:dyDescent="0.3">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row>
    <row r="64" spans="2:66" s="4" customFormat="1" x14ac:dyDescent="0.3">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row>
    <row r="65" spans="2:66" s="4" customFormat="1" x14ac:dyDescent="0.3">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row>
    <row r="66" spans="2:66" s="4" customFormat="1" x14ac:dyDescent="0.3">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row>
    <row r="67" spans="2:66" s="4" customFormat="1" x14ac:dyDescent="0.3">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row>
    <row r="68" spans="2:66" s="4" customFormat="1" x14ac:dyDescent="0.3">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row>
    <row r="69" spans="2:66" s="4" customFormat="1" x14ac:dyDescent="0.3">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row>
    <row r="70" spans="2:66" s="4" customFormat="1" x14ac:dyDescent="0.3">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row>
    <row r="71" spans="2:66" s="4" customFormat="1" x14ac:dyDescent="0.3">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row>
    <row r="72" spans="2:66" s="4" customFormat="1" x14ac:dyDescent="0.3">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row>
    <row r="73" spans="2:66" s="4" customFormat="1" x14ac:dyDescent="0.3">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row>
    <row r="74" spans="2:66" s="4" customFormat="1" x14ac:dyDescent="0.3">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row>
    <row r="75" spans="2:66" s="4" customFormat="1" x14ac:dyDescent="0.3">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row>
    <row r="76" spans="2:66" s="4" customFormat="1" x14ac:dyDescent="0.3">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row>
    <row r="77" spans="2:66" s="4" customFormat="1" x14ac:dyDescent="0.3">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row>
    <row r="78" spans="2:66" s="4" customFormat="1" x14ac:dyDescent="0.3">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row>
    <row r="79" spans="2:66" s="4" customFormat="1" x14ac:dyDescent="0.3">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row>
    <row r="80" spans="2:66" s="4" customFormat="1" x14ac:dyDescent="0.3">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row>
    <row r="81" spans="2:66" s="4" customFormat="1" x14ac:dyDescent="0.3">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row>
    <row r="82" spans="2:66" s="4" customFormat="1" x14ac:dyDescent="0.3">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row>
    <row r="83" spans="2:66" s="4" customFormat="1" x14ac:dyDescent="0.3">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row>
    <row r="84" spans="2:66" s="4" customFormat="1" x14ac:dyDescent="0.3">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row>
    <row r="85" spans="2:66" s="4" customFormat="1" x14ac:dyDescent="0.3">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row>
    <row r="86" spans="2:66" s="4" customFormat="1" x14ac:dyDescent="0.3">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row>
    <row r="87" spans="2:66" s="4" customFormat="1" x14ac:dyDescent="0.3">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row>
    <row r="88" spans="2:66" s="4" customFormat="1" x14ac:dyDescent="0.3">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row>
    <row r="89" spans="2:66" s="4" customFormat="1" x14ac:dyDescent="0.3">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row>
    <row r="90" spans="2:66" s="4" customFormat="1" x14ac:dyDescent="0.3">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row>
    <row r="91" spans="2:66" s="4" customFormat="1" x14ac:dyDescent="0.3">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row>
    <row r="92" spans="2:66" s="4" customFormat="1" x14ac:dyDescent="0.3">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row>
    <row r="93" spans="2:66" s="4" customFormat="1" x14ac:dyDescent="0.3">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row>
    <row r="94" spans="2:66" s="4" customFormat="1" x14ac:dyDescent="0.3">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row>
    <row r="95" spans="2:66" s="4" customFormat="1" x14ac:dyDescent="0.3">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row>
    <row r="96" spans="2:66" s="4" customFormat="1" x14ac:dyDescent="0.3">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row>
    <row r="97" spans="2:66" s="4" customFormat="1" x14ac:dyDescent="0.3">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row>
    <row r="98" spans="2:66" s="4" customFormat="1" x14ac:dyDescent="0.3">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row>
    <row r="99" spans="2:66" s="4" customFormat="1" x14ac:dyDescent="0.3">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row>
    <row r="100" spans="2:66" s="4" customFormat="1" x14ac:dyDescent="0.3">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row>
    <row r="101" spans="2:66" s="4" customFormat="1" x14ac:dyDescent="0.3">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row>
    <row r="102" spans="2:66" s="4" customFormat="1" x14ac:dyDescent="0.3">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row>
    <row r="103" spans="2:66" s="4" customFormat="1" x14ac:dyDescent="0.3">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row>
    <row r="104" spans="2:66" s="4" customFormat="1" x14ac:dyDescent="0.3">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row>
    <row r="105" spans="2:66" s="4" customFormat="1" x14ac:dyDescent="0.3">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row>
    <row r="106" spans="2:66" s="4" customFormat="1" x14ac:dyDescent="0.3">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row>
    <row r="107" spans="2:66" s="4" customFormat="1" x14ac:dyDescent="0.3">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row>
    <row r="108" spans="2:66" s="4" customFormat="1" x14ac:dyDescent="0.3">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row>
    <row r="109" spans="2:66" s="4" customFormat="1" x14ac:dyDescent="0.3">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row>
    <row r="110" spans="2:66" s="4" customFormat="1" x14ac:dyDescent="0.3">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row>
    <row r="111" spans="2:66" s="4" customFormat="1" x14ac:dyDescent="0.3">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row>
    <row r="112" spans="2:66" s="4" customFormat="1" x14ac:dyDescent="0.3">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row>
    <row r="113" spans="2:66" s="4" customFormat="1" x14ac:dyDescent="0.3">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row>
    <row r="114" spans="2:66" s="4" customFormat="1" x14ac:dyDescent="0.3">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row>
    <row r="115" spans="2:66" s="4" customFormat="1" x14ac:dyDescent="0.3">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row>
    <row r="116" spans="2:66" s="4" customFormat="1" x14ac:dyDescent="0.3">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row>
    <row r="117" spans="2:66" s="4" customFormat="1" x14ac:dyDescent="0.3">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row>
    <row r="118" spans="2:66" s="4" customFormat="1" x14ac:dyDescent="0.3">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row>
    <row r="119" spans="2:66" s="4" customFormat="1" x14ac:dyDescent="0.3">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row>
    <row r="120" spans="2:66" s="4" customFormat="1" x14ac:dyDescent="0.3">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row>
    <row r="121" spans="2:66" s="4" customFormat="1" x14ac:dyDescent="0.3">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row>
    <row r="122" spans="2:66" s="4" customFormat="1" x14ac:dyDescent="0.3">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row>
    <row r="123" spans="2:66" s="4" customFormat="1" x14ac:dyDescent="0.3">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row>
    <row r="124" spans="2:66" s="4" customFormat="1" x14ac:dyDescent="0.3">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row>
    <row r="125" spans="2:66" s="4" customFormat="1" x14ac:dyDescent="0.3">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row>
    <row r="126" spans="2:66" s="4" customFormat="1" x14ac:dyDescent="0.3">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row>
    <row r="127" spans="2:66" s="4" customFormat="1" x14ac:dyDescent="0.3">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row>
    <row r="128" spans="2:66" s="4" customFormat="1" x14ac:dyDescent="0.3">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row>
    <row r="129" spans="2:66" s="4" customFormat="1" x14ac:dyDescent="0.3">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row>
    <row r="130" spans="2:66" s="4" customFormat="1" x14ac:dyDescent="0.3">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row>
    <row r="131" spans="2:66" s="4" customFormat="1" x14ac:dyDescent="0.3">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row>
    <row r="132" spans="2:66" s="4" customFormat="1" x14ac:dyDescent="0.3">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row>
    <row r="133" spans="2:66" s="4" customFormat="1" x14ac:dyDescent="0.3">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row>
    <row r="134" spans="2:66" s="4" customFormat="1" x14ac:dyDescent="0.3">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row>
    <row r="135" spans="2:66" s="4" customFormat="1" x14ac:dyDescent="0.3">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row>
    <row r="136" spans="2:66" s="4" customFormat="1" x14ac:dyDescent="0.3">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row>
    <row r="137" spans="2:66" s="4" customFormat="1" x14ac:dyDescent="0.3">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row>
    <row r="138" spans="2:66" s="4" customFormat="1" x14ac:dyDescent="0.3">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row>
    <row r="139" spans="2:66" s="4" customFormat="1" x14ac:dyDescent="0.3">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row>
    <row r="140" spans="2:66" s="4" customFormat="1" x14ac:dyDescent="0.3">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row>
    <row r="141" spans="2:66" s="4" customFormat="1" x14ac:dyDescent="0.3">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row>
    <row r="142" spans="2:66" s="4" customFormat="1" x14ac:dyDescent="0.3">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row>
    <row r="143" spans="2:66" s="4" customFormat="1" x14ac:dyDescent="0.3">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row>
    <row r="144" spans="2:66" s="4" customFormat="1" x14ac:dyDescent="0.3">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row>
    <row r="145" spans="2:66" s="4" customFormat="1" x14ac:dyDescent="0.3">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row>
    <row r="146" spans="2:66" s="4" customFormat="1" x14ac:dyDescent="0.3">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row>
    <row r="147" spans="2:66" s="4" customFormat="1" x14ac:dyDescent="0.3">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row>
    <row r="148" spans="2:66" s="4" customFormat="1" x14ac:dyDescent="0.3">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row>
    <row r="149" spans="2:66" s="4" customFormat="1" x14ac:dyDescent="0.3">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row>
    <row r="150" spans="2:66" s="4" customFormat="1" x14ac:dyDescent="0.3">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row>
    <row r="151" spans="2:66" s="4" customFormat="1" x14ac:dyDescent="0.3">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row>
    <row r="152" spans="2:66" s="4" customFormat="1" x14ac:dyDescent="0.3">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row>
    <row r="153" spans="2:66" s="4" customFormat="1" x14ac:dyDescent="0.3">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row>
    <row r="154" spans="2:66" s="4" customFormat="1" x14ac:dyDescent="0.3">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row>
    <row r="155" spans="2:66" s="4" customFormat="1" x14ac:dyDescent="0.3">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row>
    <row r="156" spans="2:66" s="4" customFormat="1" x14ac:dyDescent="0.3">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row>
    <row r="157" spans="2:66" s="4" customFormat="1" x14ac:dyDescent="0.3">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row>
    <row r="158" spans="2:66" s="4" customFormat="1" x14ac:dyDescent="0.3">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row>
    <row r="159" spans="2:66" s="4" customFormat="1" x14ac:dyDescent="0.3">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row>
    <row r="160" spans="2:66" s="4" customFormat="1" x14ac:dyDescent="0.3">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row>
    <row r="161" spans="2:66" s="4" customFormat="1" x14ac:dyDescent="0.3">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row>
    <row r="162" spans="2:66" s="4" customFormat="1" x14ac:dyDescent="0.3">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row>
    <row r="163" spans="2:66" s="4" customFormat="1" x14ac:dyDescent="0.3">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row>
    <row r="164" spans="2:66" s="4" customFormat="1" x14ac:dyDescent="0.3">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row>
    <row r="165" spans="2:66" s="4" customFormat="1" x14ac:dyDescent="0.3">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row>
    <row r="166" spans="2:66" s="4" customFormat="1" x14ac:dyDescent="0.3">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row>
    <row r="167" spans="2:66" s="4" customFormat="1" x14ac:dyDescent="0.3">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row>
    <row r="168" spans="2:66" s="4" customFormat="1" x14ac:dyDescent="0.3">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row>
    <row r="169" spans="2:66" s="4" customFormat="1" x14ac:dyDescent="0.3">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row>
    <row r="170" spans="2:66" s="4" customFormat="1" x14ac:dyDescent="0.3">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row>
    <row r="171" spans="2:66" s="4" customFormat="1" x14ac:dyDescent="0.3">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row>
    <row r="172" spans="2:66" s="4" customFormat="1" x14ac:dyDescent="0.3">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row>
    <row r="173" spans="2:66" s="4" customFormat="1" x14ac:dyDescent="0.3">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row>
    <row r="174" spans="2:66" s="4" customFormat="1" x14ac:dyDescent="0.3">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row>
    <row r="175" spans="2:66" s="4" customFormat="1" x14ac:dyDescent="0.3">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row>
    <row r="176" spans="2:66" s="4" customFormat="1" x14ac:dyDescent="0.3">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row>
    <row r="177" spans="2:66" s="4" customFormat="1" x14ac:dyDescent="0.3">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row>
    <row r="178" spans="2:66" s="4" customFormat="1" x14ac:dyDescent="0.3">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row>
    <row r="179" spans="2:66" s="4" customFormat="1" x14ac:dyDescent="0.3">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row>
    <row r="180" spans="2:66" s="4" customFormat="1" x14ac:dyDescent="0.3">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row>
    <row r="181" spans="2:66" s="4" customFormat="1" x14ac:dyDescent="0.3">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row>
    <row r="182" spans="2:66" s="4" customFormat="1" x14ac:dyDescent="0.3">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row>
    <row r="183" spans="2:66" s="4" customFormat="1" x14ac:dyDescent="0.3">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row>
    <row r="184" spans="2:66" s="4" customFormat="1" x14ac:dyDescent="0.3">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row>
    <row r="185" spans="2:66" s="4" customFormat="1" x14ac:dyDescent="0.3">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row>
    <row r="186" spans="2:66" s="4" customFormat="1" x14ac:dyDescent="0.3">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row>
    <row r="187" spans="2:66" s="4" customFormat="1" x14ac:dyDescent="0.3">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row>
    <row r="188" spans="2:66" s="4" customFormat="1" x14ac:dyDescent="0.3">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row>
    <row r="189" spans="2:66" s="4" customFormat="1" x14ac:dyDescent="0.3">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row>
    <row r="190" spans="2:66" s="4" customFormat="1" x14ac:dyDescent="0.3">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row>
    <row r="191" spans="2:66" s="4" customFormat="1" x14ac:dyDescent="0.3">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row>
    <row r="192" spans="2:66" s="4" customFormat="1" x14ac:dyDescent="0.3">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row>
    <row r="193" spans="2:66" s="4" customFormat="1" x14ac:dyDescent="0.3">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row>
    <row r="194" spans="2:66" s="4" customFormat="1" x14ac:dyDescent="0.3">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row>
    <row r="195" spans="2:66" s="4" customFormat="1" x14ac:dyDescent="0.3">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row>
    <row r="196" spans="2:66" s="4" customFormat="1" x14ac:dyDescent="0.3">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row>
    <row r="197" spans="2:66" s="4" customFormat="1" x14ac:dyDescent="0.3">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row>
    <row r="198" spans="2:66" s="4" customFormat="1" x14ac:dyDescent="0.3">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row>
    <row r="199" spans="2:66" s="4" customFormat="1" x14ac:dyDescent="0.3">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row>
    <row r="200" spans="2:66" s="4" customFormat="1" x14ac:dyDescent="0.3">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row>
  </sheetData>
  <mergeCells count="7">
    <mergeCell ref="D2:I3"/>
    <mergeCell ref="AT5:BC5"/>
    <mergeCell ref="BE5:BN5"/>
    <mergeCell ref="B5:K5"/>
    <mergeCell ref="M5:V5"/>
    <mergeCell ref="X5:AG5"/>
    <mergeCell ref="AI5:AR5"/>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1"/>
  <dimension ref="C1:M24"/>
  <sheetViews>
    <sheetView topLeftCell="A5" zoomScaleNormal="100" workbookViewId="0"/>
  </sheetViews>
  <sheetFormatPr baseColWidth="10" defaultColWidth="11.44140625" defaultRowHeight="14.4" x14ac:dyDescent="0.3"/>
  <cols>
    <col min="1" max="1" width="10.6640625" style="1" customWidth="1"/>
    <col min="2" max="3" width="11.44140625" style="1"/>
    <col min="4" max="4" width="11.44140625" style="1" customWidth="1"/>
    <col min="5" max="14" width="18" style="1" customWidth="1"/>
    <col min="15" max="18" width="9.33203125" style="1" customWidth="1"/>
    <col min="19" max="16384" width="11.44140625" style="1"/>
  </cols>
  <sheetData>
    <row r="1" spans="3:13" ht="24.9" customHeight="1" x14ac:dyDescent="0.3"/>
    <row r="2" spans="3:13" ht="17.25" customHeight="1" x14ac:dyDescent="0.3">
      <c r="E2" s="64" t="s">
        <v>162</v>
      </c>
      <c r="F2" s="64"/>
      <c r="G2" s="64"/>
      <c r="H2" s="64"/>
      <c r="I2" s="64"/>
      <c r="J2" s="64"/>
      <c r="K2" s="64"/>
      <c r="L2" s="64"/>
    </row>
    <row r="3" spans="3:13" ht="17.25" customHeight="1" x14ac:dyDescent="0.3">
      <c r="E3" s="64"/>
      <c r="F3" s="64"/>
      <c r="G3" s="64"/>
      <c r="H3" s="64"/>
      <c r="I3" s="64"/>
      <c r="J3" s="64"/>
      <c r="K3" s="64"/>
      <c r="L3" s="64"/>
    </row>
    <row r="4" spans="3:13" ht="17.25" customHeight="1" x14ac:dyDescent="0.3"/>
    <row r="5" spans="3:13" ht="78" customHeight="1" x14ac:dyDescent="0.3">
      <c r="D5" s="11"/>
      <c r="E5" s="65" t="s">
        <v>171</v>
      </c>
      <c r="F5" s="66"/>
      <c r="G5" s="66"/>
      <c r="H5" s="67"/>
      <c r="I5" s="65" t="s">
        <v>172</v>
      </c>
      <c r="J5" s="66"/>
      <c r="K5" s="66"/>
      <c r="L5" s="67"/>
    </row>
    <row r="6" spans="3:13" ht="45.75" customHeight="1" x14ac:dyDescent="0.3">
      <c r="C6" s="62" t="s">
        <v>163</v>
      </c>
      <c r="D6" s="62"/>
      <c r="E6" s="63" t="s">
        <v>165</v>
      </c>
      <c r="F6" s="63"/>
      <c r="G6" s="63"/>
      <c r="H6" s="63"/>
      <c r="I6" s="63" t="s">
        <v>166</v>
      </c>
      <c r="J6" s="63"/>
      <c r="K6" s="63"/>
      <c r="L6" s="63"/>
    </row>
    <row r="7" spans="3:13" ht="45.75" customHeight="1" x14ac:dyDescent="0.3">
      <c r="C7" s="62" t="s">
        <v>164</v>
      </c>
      <c r="D7" s="62"/>
      <c r="E7" s="63" t="s">
        <v>180</v>
      </c>
      <c r="F7" s="63"/>
      <c r="G7" s="63"/>
      <c r="H7" s="63"/>
      <c r="I7" s="63" t="s">
        <v>181</v>
      </c>
      <c r="J7" s="63"/>
      <c r="K7" s="63"/>
      <c r="L7" s="63"/>
    </row>
    <row r="8" spans="3:13" ht="45.75" customHeight="1" x14ac:dyDescent="0.3">
      <c r="C8" s="62" t="s">
        <v>167</v>
      </c>
      <c r="D8" s="62"/>
      <c r="E8" s="63" t="s">
        <v>178</v>
      </c>
      <c r="F8" s="63"/>
      <c r="G8" s="63"/>
      <c r="H8" s="63"/>
      <c r="I8" s="63" t="s">
        <v>179</v>
      </c>
      <c r="J8" s="63"/>
      <c r="K8" s="63"/>
      <c r="L8" s="63"/>
    </row>
    <row r="9" spans="3:13" ht="45.75" customHeight="1" x14ac:dyDescent="0.3">
      <c r="C9" s="62" t="s">
        <v>168</v>
      </c>
      <c r="D9" s="62"/>
      <c r="E9" s="63" t="s">
        <v>169</v>
      </c>
      <c r="F9" s="63"/>
      <c r="G9" s="63"/>
      <c r="H9" s="63"/>
      <c r="I9" s="63" t="s">
        <v>170</v>
      </c>
      <c r="J9" s="63"/>
      <c r="K9" s="63"/>
      <c r="L9" s="63"/>
    </row>
    <row r="10" spans="3:13" ht="45.75" customHeight="1" x14ac:dyDescent="0.3">
      <c r="C10" s="62"/>
      <c r="D10" s="62"/>
      <c r="E10" s="63"/>
      <c r="F10" s="63"/>
      <c r="G10" s="63"/>
      <c r="H10" s="63"/>
      <c r="I10" s="63"/>
      <c r="J10" s="63"/>
      <c r="K10" s="63"/>
      <c r="L10" s="63"/>
    </row>
    <row r="11" spans="3:13" ht="45.75" customHeight="1" x14ac:dyDescent="0.3">
      <c r="C11" s="62" t="s">
        <v>152</v>
      </c>
      <c r="D11" s="62"/>
      <c r="E11" s="63" t="s">
        <v>176</v>
      </c>
      <c r="F11" s="63"/>
      <c r="G11" s="63"/>
      <c r="H11" s="63"/>
      <c r="I11" s="63" t="s">
        <v>177</v>
      </c>
      <c r="J11" s="63"/>
      <c r="K11" s="63"/>
      <c r="L11" s="63"/>
    </row>
    <row r="12" spans="3:13" ht="45.75" customHeight="1" x14ac:dyDescent="0.3">
      <c r="C12" s="62"/>
      <c r="D12" s="62"/>
      <c r="E12" s="63"/>
      <c r="F12" s="63"/>
      <c r="G12" s="63"/>
      <c r="H12" s="63"/>
      <c r="I12" s="63"/>
      <c r="J12" s="63"/>
      <c r="K12" s="63"/>
      <c r="L12" s="63"/>
    </row>
    <row r="13" spans="3:13" ht="45.75" customHeight="1" x14ac:dyDescent="0.3">
      <c r="F13" s="11"/>
      <c r="G13" s="11"/>
      <c r="H13" s="11"/>
      <c r="I13" s="11"/>
      <c r="J13" s="11"/>
      <c r="K13" s="11"/>
      <c r="L13" s="11"/>
      <c r="M13" s="11"/>
    </row>
    <row r="14" spans="3:13" ht="45.75" customHeight="1" x14ac:dyDescent="0.3"/>
    <row r="15" spans="3:13" ht="45.75" customHeight="1" x14ac:dyDescent="0.3"/>
    <row r="16" spans="3:13"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sheetData>
  <mergeCells count="18">
    <mergeCell ref="C9:D10"/>
    <mergeCell ref="C11:D12"/>
    <mergeCell ref="E9:H10"/>
    <mergeCell ref="I9:L10"/>
    <mergeCell ref="E11:H12"/>
    <mergeCell ref="I11:L12"/>
    <mergeCell ref="C7:D7"/>
    <mergeCell ref="C8:D8"/>
    <mergeCell ref="I6:L6"/>
    <mergeCell ref="E6:H6"/>
    <mergeCell ref="E2:L3"/>
    <mergeCell ref="I7:L7"/>
    <mergeCell ref="E8:H8"/>
    <mergeCell ref="I8:L8"/>
    <mergeCell ref="E7:H7"/>
    <mergeCell ref="E5:H5"/>
    <mergeCell ref="I5:L5"/>
    <mergeCell ref="C6:D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9"/>
  <dimension ref="B1:K27"/>
  <sheetViews>
    <sheetView workbookViewId="0">
      <selection activeCell="I29" sqref="I29"/>
    </sheetView>
  </sheetViews>
  <sheetFormatPr baseColWidth="10" defaultColWidth="11.44140625" defaultRowHeight="14.4" x14ac:dyDescent="0.3"/>
  <cols>
    <col min="1" max="1" width="10.6640625" style="1" customWidth="1"/>
    <col min="2" max="2" width="11.44140625" style="1"/>
    <col min="3" max="4" width="22.88671875" style="1" customWidth="1"/>
    <col min="5" max="16384" width="11.44140625" style="1"/>
  </cols>
  <sheetData>
    <row r="1" spans="4:11" ht="24.9" customHeight="1" x14ac:dyDescent="0.3"/>
    <row r="2" spans="4:11" ht="17.25" customHeight="1" x14ac:dyDescent="0.3">
      <c r="D2" s="40" t="s">
        <v>108</v>
      </c>
      <c r="E2" s="40"/>
      <c r="F2" s="40"/>
      <c r="G2" s="40"/>
      <c r="H2" s="40"/>
      <c r="I2" s="40"/>
      <c r="J2" s="40"/>
      <c r="K2" s="40"/>
    </row>
    <row r="3" spans="4:11" ht="17.25" customHeight="1" x14ac:dyDescent="0.3">
      <c r="D3" s="40"/>
      <c r="E3" s="40"/>
      <c r="F3" s="40"/>
      <c r="G3" s="40"/>
      <c r="H3" s="40"/>
      <c r="I3" s="40"/>
      <c r="J3" s="40"/>
      <c r="K3" s="40"/>
    </row>
    <row r="4" spans="4:11" ht="15" customHeight="1" x14ac:dyDescent="0.3"/>
    <row r="5" spans="4:11" ht="15" customHeight="1" x14ac:dyDescent="0.3"/>
    <row r="21" spans="2:4" x14ac:dyDescent="0.3">
      <c r="B21" s="5" t="s">
        <v>194</v>
      </c>
      <c r="C21" s="5" t="s">
        <v>14</v>
      </c>
      <c r="D21" s="5" t="s">
        <v>15</v>
      </c>
    </row>
    <row r="22" spans="2:4" x14ac:dyDescent="0.3">
      <c r="B22" s="5" t="s">
        <v>93</v>
      </c>
      <c r="C22" s="24">
        <v>308.5</v>
      </c>
      <c r="D22" s="24">
        <v>180.833333333333</v>
      </c>
    </row>
    <row r="23" spans="2:4" ht="14.25" customHeight="1" x14ac:dyDescent="0.3">
      <c r="B23" s="5" t="s">
        <v>94</v>
      </c>
      <c r="C23" s="24">
        <v>536.36329327354497</v>
      </c>
      <c r="D23" s="24">
        <v>241.74894812447101</v>
      </c>
    </row>
    <row r="24" spans="2:4" x14ac:dyDescent="0.3">
      <c r="B24" s="5" t="s">
        <v>96</v>
      </c>
      <c r="C24" s="24">
        <v>0.101374299888908</v>
      </c>
      <c r="D24" s="24">
        <v>0.24737447093352899</v>
      </c>
    </row>
    <row r="25" spans="2:4" x14ac:dyDescent="0.3">
      <c r="B25" s="5" t="s">
        <v>97</v>
      </c>
      <c r="C25" s="24">
        <v>60.397463961085101</v>
      </c>
      <c r="D25" s="24">
        <v>50.192523991912502</v>
      </c>
    </row>
    <row r="26" spans="2:4" x14ac:dyDescent="0.3">
      <c r="B26" s="5" t="s">
        <v>95</v>
      </c>
      <c r="C26" s="24">
        <v>2.21005540213564</v>
      </c>
      <c r="D26" s="24">
        <v>1.3834293214001301</v>
      </c>
    </row>
    <row r="27" spans="2:4" x14ac:dyDescent="0.3">
      <c r="B27" s="5" t="s">
        <v>98</v>
      </c>
      <c r="C27" s="24">
        <f>C22+((C23-C22)/(1+C26*EXP(-C24*('3.Inputs'!D9-C25))))</f>
        <v>403.99919012530574</v>
      </c>
      <c r="D27" s="24">
        <f>D22+((D23-D22)/(1+D26*EXP(-D24*('3.Inputs'!D9-D25))))</f>
        <v>239.66099127016815</v>
      </c>
    </row>
  </sheetData>
  <mergeCells count="1">
    <mergeCell ref="D2:K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
  <dimension ref="B2:W31"/>
  <sheetViews>
    <sheetView workbookViewId="0">
      <selection activeCell="H1" sqref="H1"/>
    </sheetView>
  </sheetViews>
  <sheetFormatPr baseColWidth="10" defaultColWidth="11.44140625" defaultRowHeight="14.4" x14ac:dyDescent="0.3"/>
  <cols>
    <col min="1" max="2" width="11.44140625" style="1"/>
    <col min="3" max="3" width="26.33203125" style="1" customWidth="1"/>
    <col min="4" max="4" width="19.33203125" style="1" bestFit="1" customWidth="1"/>
    <col min="5" max="5" width="13.33203125" style="1" bestFit="1" customWidth="1"/>
    <col min="6" max="17" width="11.44140625" style="1"/>
    <col min="18" max="18" width="10.44140625" style="1" customWidth="1"/>
    <col min="19" max="16384" width="11.44140625" style="1"/>
  </cols>
  <sheetData>
    <row r="2" spans="2:21" x14ac:dyDescent="0.3">
      <c r="D2" s="1">
        <v>60</v>
      </c>
      <c r="K2" s="1">
        <v>90</v>
      </c>
      <c r="R2" s="1">
        <v>120</v>
      </c>
    </row>
    <row r="5" spans="2:21" x14ac:dyDescent="0.3">
      <c r="B5" s="1" t="s">
        <v>48</v>
      </c>
      <c r="C5" s="1">
        <v>3</v>
      </c>
      <c r="D5" s="21" t="s">
        <v>47</v>
      </c>
      <c r="E5" s="21" t="s">
        <v>32</v>
      </c>
      <c r="F5" s="21" t="s">
        <v>36</v>
      </c>
      <c r="J5" s="1">
        <v>3</v>
      </c>
      <c r="K5" s="22" t="s">
        <v>56</v>
      </c>
      <c r="L5" s="22" t="s">
        <v>32</v>
      </c>
      <c r="M5" s="22" t="s">
        <v>57</v>
      </c>
      <c r="Q5" s="1">
        <v>3</v>
      </c>
      <c r="R5" s="23" t="s">
        <v>30</v>
      </c>
      <c r="S5" s="23" t="s">
        <v>32</v>
      </c>
      <c r="T5" s="23" t="s">
        <v>30</v>
      </c>
    </row>
    <row r="6" spans="2:21" x14ac:dyDescent="0.3">
      <c r="B6" s="1" t="s">
        <v>50</v>
      </c>
      <c r="D6" s="1" t="s">
        <v>46</v>
      </c>
      <c r="E6" s="1" t="s">
        <v>32</v>
      </c>
      <c r="F6" s="21" t="s">
        <v>33</v>
      </c>
      <c r="K6" s="22" t="s">
        <v>37</v>
      </c>
      <c r="L6" s="22" t="s">
        <v>33</v>
      </c>
      <c r="M6" s="22" t="s">
        <v>53</v>
      </c>
      <c r="R6" s="23" t="s">
        <v>37</v>
      </c>
      <c r="S6" s="23" t="s">
        <v>33</v>
      </c>
      <c r="T6" s="23" t="s">
        <v>36</v>
      </c>
    </row>
    <row r="7" spans="2:21" x14ac:dyDescent="0.3">
      <c r="B7" s="1" t="s">
        <v>49</v>
      </c>
      <c r="D7" s="21" t="s">
        <v>37</v>
      </c>
      <c r="E7" s="21" t="s">
        <v>33</v>
      </c>
      <c r="F7" s="21" t="s">
        <v>35</v>
      </c>
      <c r="K7" s="22" t="s">
        <v>34</v>
      </c>
      <c r="L7" s="22" t="s">
        <v>38</v>
      </c>
      <c r="M7" s="22" t="s">
        <v>32</v>
      </c>
      <c r="R7" s="23" t="s">
        <v>34</v>
      </c>
      <c r="S7" s="23" t="s">
        <v>38</v>
      </c>
      <c r="T7" s="23" t="s">
        <v>32</v>
      </c>
    </row>
    <row r="8" spans="2:21" x14ac:dyDescent="0.3">
      <c r="D8" s="21" t="s">
        <v>34</v>
      </c>
      <c r="E8" s="21" t="s">
        <v>0</v>
      </c>
      <c r="F8" s="21"/>
      <c r="K8" s="22" t="s">
        <v>35</v>
      </c>
      <c r="L8" s="22" t="s">
        <v>42</v>
      </c>
      <c r="M8" s="22" t="s">
        <v>33</v>
      </c>
      <c r="R8" s="23" t="s">
        <v>35</v>
      </c>
      <c r="S8" s="23" t="s">
        <v>42</v>
      </c>
      <c r="T8" s="23" t="s">
        <v>33</v>
      </c>
    </row>
    <row r="9" spans="2:21" x14ac:dyDescent="0.3">
      <c r="R9" s="23" t="s">
        <v>45</v>
      </c>
      <c r="S9" s="23" t="s">
        <v>43</v>
      </c>
      <c r="T9" s="23" t="s">
        <v>41</v>
      </c>
    </row>
    <row r="13" spans="2:21" x14ac:dyDescent="0.3">
      <c r="B13" s="1" t="s">
        <v>48</v>
      </c>
      <c r="C13" s="1">
        <v>4</v>
      </c>
      <c r="D13" s="22" t="s">
        <v>46</v>
      </c>
      <c r="E13" s="22" t="s">
        <v>54</v>
      </c>
      <c r="F13" s="22" t="s">
        <v>47</v>
      </c>
      <c r="G13" s="22" t="s">
        <v>61</v>
      </c>
      <c r="J13" s="1">
        <v>4</v>
      </c>
      <c r="K13" s="23" t="s">
        <v>46</v>
      </c>
      <c r="L13" s="23" t="s">
        <v>54</v>
      </c>
      <c r="M13" s="23" t="s">
        <v>47</v>
      </c>
      <c r="N13" s="23" t="s">
        <v>61</v>
      </c>
      <c r="Q13" s="1">
        <v>4</v>
      </c>
      <c r="R13" s="23" t="s">
        <v>46</v>
      </c>
      <c r="S13" s="23" t="s">
        <v>54</v>
      </c>
      <c r="T13" s="23" t="s">
        <v>47</v>
      </c>
      <c r="U13" s="23" t="s">
        <v>61</v>
      </c>
    </row>
    <row r="14" spans="2:21" x14ac:dyDescent="0.3">
      <c r="B14" s="1" t="s">
        <v>63</v>
      </c>
      <c r="D14" s="22" t="s">
        <v>37</v>
      </c>
      <c r="E14" s="22" t="s">
        <v>60</v>
      </c>
      <c r="F14" s="22" t="s">
        <v>53</v>
      </c>
      <c r="G14" s="22" t="s">
        <v>62</v>
      </c>
      <c r="K14" s="23" t="s">
        <v>37</v>
      </c>
      <c r="L14" s="23" t="s">
        <v>60</v>
      </c>
      <c r="M14" s="23" t="s">
        <v>53</v>
      </c>
      <c r="N14" s="23" t="s">
        <v>62</v>
      </c>
      <c r="R14" s="23" t="s">
        <v>37</v>
      </c>
      <c r="S14" s="23" t="s">
        <v>60</v>
      </c>
      <c r="T14" s="23" t="s">
        <v>53</v>
      </c>
      <c r="U14" s="23" t="s">
        <v>62</v>
      </c>
    </row>
    <row r="15" spans="2:21" x14ac:dyDescent="0.3">
      <c r="B15" s="1" t="s">
        <v>51</v>
      </c>
      <c r="D15" s="22" t="s">
        <v>34</v>
      </c>
      <c r="E15" s="22" t="s">
        <v>0</v>
      </c>
      <c r="F15" s="22" t="s">
        <v>35</v>
      </c>
      <c r="G15" s="22" t="s">
        <v>42</v>
      </c>
      <c r="K15" s="23" t="s">
        <v>34</v>
      </c>
      <c r="L15" s="23" t="s">
        <v>0</v>
      </c>
      <c r="M15" s="23" t="s">
        <v>35</v>
      </c>
      <c r="N15" s="23" t="s">
        <v>42</v>
      </c>
      <c r="R15" s="23" t="s">
        <v>34</v>
      </c>
      <c r="S15" s="23" t="s">
        <v>0</v>
      </c>
      <c r="T15" s="23" t="s">
        <v>35</v>
      </c>
      <c r="U15" s="23" t="s">
        <v>42</v>
      </c>
    </row>
    <row r="16" spans="2:21" x14ac:dyDescent="0.3">
      <c r="K16" s="23" t="s">
        <v>45</v>
      </c>
      <c r="L16" s="23" t="s">
        <v>58</v>
      </c>
      <c r="M16" s="23" t="s">
        <v>39</v>
      </c>
      <c r="N16" s="23" t="s">
        <v>55</v>
      </c>
      <c r="R16" s="23" t="s">
        <v>45</v>
      </c>
      <c r="S16" s="23" t="s">
        <v>58</v>
      </c>
      <c r="T16" s="23" t="s">
        <v>39</v>
      </c>
      <c r="U16" s="23" t="s">
        <v>55</v>
      </c>
    </row>
    <row r="17" spans="2:23" x14ac:dyDescent="0.3">
      <c r="R17" s="23" t="s">
        <v>59</v>
      </c>
      <c r="S17" s="23" t="s">
        <v>43</v>
      </c>
      <c r="T17" s="23" t="s">
        <v>64</v>
      </c>
      <c r="U17" s="23" t="s">
        <v>65</v>
      </c>
    </row>
    <row r="20" spans="2:23" x14ac:dyDescent="0.3">
      <c r="B20" s="1" t="s">
        <v>48</v>
      </c>
    </row>
    <row r="21" spans="2:23" x14ac:dyDescent="0.3">
      <c r="B21" s="1" t="s">
        <v>52</v>
      </c>
      <c r="C21" s="1">
        <v>5</v>
      </c>
      <c r="D21" s="23" t="s">
        <v>46</v>
      </c>
      <c r="E21" s="23" t="s">
        <v>54</v>
      </c>
      <c r="F21" s="23" t="s">
        <v>66</v>
      </c>
      <c r="G21" s="23" t="s">
        <v>61</v>
      </c>
      <c r="H21" s="23" t="s">
        <v>47</v>
      </c>
      <c r="J21" s="1">
        <v>5</v>
      </c>
      <c r="K21" s="23" t="s">
        <v>46</v>
      </c>
      <c r="L21" s="23" t="s">
        <v>54</v>
      </c>
      <c r="M21" s="23" t="s">
        <v>66</v>
      </c>
      <c r="N21" s="23" t="s">
        <v>61</v>
      </c>
      <c r="O21" s="23" t="s">
        <v>47</v>
      </c>
      <c r="Q21" s="1">
        <v>5</v>
      </c>
      <c r="R21" s="23" t="s">
        <v>46</v>
      </c>
      <c r="S21" s="23" t="s">
        <v>54</v>
      </c>
      <c r="T21" s="23" t="s">
        <v>66</v>
      </c>
      <c r="U21" s="23" t="s">
        <v>61</v>
      </c>
      <c r="V21" s="23" t="s">
        <v>47</v>
      </c>
    </row>
    <row r="22" spans="2:23" x14ac:dyDescent="0.3">
      <c r="B22" s="1" t="s">
        <v>51</v>
      </c>
      <c r="D22" s="23" t="s">
        <v>37</v>
      </c>
      <c r="E22" s="23" t="s">
        <v>60</v>
      </c>
      <c r="F22" s="23" t="s">
        <v>35</v>
      </c>
      <c r="G22" s="23" t="s">
        <v>62</v>
      </c>
      <c r="H22" s="23" t="s">
        <v>53</v>
      </c>
      <c r="K22" s="23" t="s">
        <v>37</v>
      </c>
      <c r="L22" s="23" t="s">
        <v>60</v>
      </c>
      <c r="M22" s="23" t="s">
        <v>35</v>
      </c>
      <c r="N22" s="23" t="s">
        <v>62</v>
      </c>
      <c r="O22" s="23" t="s">
        <v>53</v>
      </c>
      <c r="R22" s="23" t="s">
        <v>37</v>
      </c>
      <c r="S22" s="23" t="s">
        <v>60</v>
      </c>
      <c r="T22" s="23" t="s">
        <v>35</v>
      </c>
      <c r="U22" s="23" t="s">
        <v>62</v>
      </c>
      <c r="V22" s="23" t="s">
        <v>53</v>
      </c>
    </row>
    <row r="23" spans="2:23" x14ac:dyDescent="0.3">
      <c r="D23" s="23" t="s">
        <v>34</v>
      </c>
      <c r="E23" s="23" t="s">
        <v>0</v>
      </c>
      <c r="F23" s="23" t="s">
        <v>59</v>
      </c>
      <c r="G23" s="23" t="s">
        <v>42</v>
      </c>
      <c r="H23" s="23" t="s">
        <v>39</v>
      </c>
      <c r="K23" s="23" t="s">
        <v>34</v>
      </c>
      <c r="L23" s="23" t="s">
        <v>0</v>
      </c>
      <c r="M23" s="23" t="s">
        <v>55</v>
      </c>
      <c r="N23" s="23" t="s">
        <v>42</v>
      </c>
      <c r="O23" s="23" t="s">
        <v>39</v>
      </c>
      <c r="R23" s="23" t="s">
        <v>34</v>
      </c>
      <c r="S23" s="23" t="s">
        <v>0</v>
      </c>
      <c r="T23" s="23" t="s">
        <v>55</v>
      </c>
      <c r="U23" s="23" t="s">
        <v>42</v>
      </c>
      <c r="V23" s="23" t="s">
        <v>39</v>
      </c>
    </row>
    <row r="24" spans="2:23" x14ac:dyDescent="0.3">
      <c r="K24" s="23" t="s">
        <v>45</v>
      </c>
      <c r="L24" s="23" t="s">
        <v>58</v>
      </c>
      <c r="M24" s="23" t="s">
        <v>44</v>
      </c>
      <c r="N24" s="23" t="s">
        <v>68</v>
      </c>
      <c r="O24" s="23" t="s">
        <v>64</v>
      </c>
      <c r="R24" s="23" t="s">
        <v>45</v>
      </c>
      <c r="S24" s="23" t="s">
        <v>58</v>
      </c>
      <c r="T24" s="23" t="s">
        <v>44</v>
      </c>
      <c r="U24" s="23" t="s">
        <v>68</v>
      </c>
      <c r="V24" s="23" t="s">
        <v>64</v>
      </c>
    </row>
    <row r="25" spans="2:23" x14ac:dyDescent="0.3">
      <c r="R25" s="23" t="s">
        <v>59</v>
      </c>
      <c r="S25" s="23" t="s">
        <v>43</v>
      </c>
      <c r="T25" s="23" t="s">
        <v>67</v>
      </c>
      <c r="U25" s="23" t="s">
        <v>65</v>
      </c>
      <c r="V25" s="23" t="s">
        <v>72</v>
      </c>
    </row>
    <row r="27" spans="2:23" x14ac:dyDescent="0.3">
      <c r="B27" s="1" t="s">
        <v>48</v>
      </c>
      <c r="D27" s="23"/>
      <c r="E27" s="23"/>
      <c r="F27" s="23"/>
      <c r="G27" s="23"/>
      <c r="H27" s="23"/>
      <c r="I27" s="23"/>
      <c r="J27" s="1">
        <v>6</v>
      </c>
      <c r="K27" s="22" t="s">
        <v>56</v>
      </c>
      <c r="L27" s="22" t="s">
        <v>40</v>
      </c>
      <c r="M27" s="22" t="s">
        <v>30</v>
      </c>
      <c r="N27" s="22" t="s">
        <v>35</v>
      </c>
      <c r="O27" s="22" t="s">
        <v>40</v>
      </c>
      <c r="P27" s="22" t="s">
        <v>31</v>
      </c>
      <c r="Q27" s="1">
        <v>6</v>
      </c>
      <c r="R27" s="22" t="s">
        <v>56</v>
      </c>
      <c r="S27" s="22" t="s">
        <v>54</v>
      </c>
      <c r="T27" s="22" t="s">
        <v>30</v>
      </c>
      <c r="U27" s="22" t="s">
        <v>35</v>
      </c>
      <c r="V27" s="22" t="s">
        <v>103</v>
      </c>
      <c r="W27" s="22" t="s">
        <v>31</v>
      </c>
    </row>
    <row r="28" spans="2:23" x14ac:dyDescent="0.3">
      <c r="B28" s="1" t="s">
        <v>52</v>
      </c>
      <c r="D28" s="23" t="s">
        <v>56</v>
      </c>
      <c r="E28" s="23" t="s">
        <v>40</v>
      </c>
      <c r="F28" s="23" t="s">
        <v>30</v>
      </c>
      <c r="G28" s="23" t="s">
        <v>35</v>
      </c>
      <c r="H28" s="23" t="s">
        <v>40</v>
      </c>
      <c r="I28" s="23" t="s">
        <v>31</v>
      </c>
      <c r="K28" s="22" t="s">
        <v>70</v>
      </c>
      <c r="L28" s="22" t="s">
        <v>33</v>
      </c>
      <c r="M28" s="22" t="s">
        <v>31</v>
      </c>
      <c r="N28" s="22" t="s">
        <v>55</v>
      </c>
      <c r="O28" s="22" t="s">
        <v>33</v>
      </c>
      <c r="P28" s="22" t="s">
        <v>30</v>
      </c>
      <c r="R28" s="22" t="s">
        <v>70</v>
      </c>
      <c r="S28" s="22" t="s">
        <v>102</v>
      </c>
      <c r="T28" s="22" t="s">
        <v>31</v>
      </c>
      <c r="U28" s="22" t="s">
        <v>55</v>
      </c>
      <c r="V28" s="22" t="s">
        <v>102</v>
      </c>
      <c r="W28" s="22" t="s">
        <v>30</v>
      </c>
    </row>
    <row r="29" spans="2:23" x14ac:dyDescent="0.3">
      <c r="B29" s="1" t="s">
        <v>51</v>
      </c>
      <c r="D29" s="23" t="s">
        <v>70</v>
      </c>
      <c r="E29" s="23" t="s">
        <v>33</v>
      </c>
      <c r="F29" s="23" t="s">
        <v>31</v>
      </c>
      <c r="G29" s="23" t="s">
        <v>55</v>
      </c>
      <c r="H29" s="23" t="s">
        <v>33</v>
      </c>
      <c r="I29" s="23" t="s">
        <v>30</v>
      </c>
      <c r="K29" s="22" t="s">
        <v>34</v>
      </c>
      <c r="L29" s="22" t="s">
        <v>0</v>
      </c>
      <c r="M29" s="22" t="s">
        <v>59</v>
      </c>
      <c r="N29" s="22" t="s">
        <v>64</v>
      </c>
      <c r="O29" s="22" t="s">
        <v>42</v>
      </c>
      <c r="P29" s="22" t="s">
        <v>44</v>
      </c>
      <c r="R29" s="22" t="s">
        <v>34</v>
      </c>
      <c r="S29" s="22" t="s">
        <v>0</v>
      </c>
      <c r="T29" s="22" t="s">
        <v>59</v>
      </c>
      <c r="U29" s="22" t="s">
        <v>64</v>
      </c>
      <c r="V29" s="22" t="s">
        <v>42</v>
      </c>
      <c r="W29" s="22" t="s">
        <v>39</v>
      </c>
    </row>
    <row r="30" spans="2:23" x14ac:dyDescent="0.3">
      <c r="C30" s="1">
        <v>6</v>
      </c>
      <c r="D30" s="23" t="s">
        <v>34</v>
      </c>
      <c r="E30" s="23" t="s">
        <v>0</v>
      </c>
      <c r="F30" s="23" t="s">
        <v>59</v>
      </c>
      <c r="G30" s="23" t="s">
        <v>64</v>
      </c>
      <c r="H30" s="23" t="s">
        <v>42</v>
      </c>
      <c r="I30" s="23" t="s">
        <v>44</v>
      </c>
      <c r="K30" s="22" t="s">
        <v>45</v>
      </c>
      <c r="L30" s="22" t="s">
        <v>58</v>
      </c>
      <c r="M30" s="22" t="s">
        <v>67</v>
      </c>
      <c r="N30" s="22" t="s">
        <v>55</v>
      </c>
      <c r="O30" s="22" t="s">
        <v>68</v>
      </c>
      <c r="P30" s="22" t="s">
        <v>39</v>
      </c>
      <c r="R30" s="22" t="s">
        <v>45</v>
      </c>
      <c r="S30" s="22" t="s">
        <v>58</v>
      </c>
      <c r="T30" s="22" t="s">
        <v>67</v>
      </c>
      <c r="U30" s="22" t="s">
        <v>71</v>
      </c>
      <c r="V30" s="22" t="s">
        <v>68</v>
      </c>
      <c r="W30" s="22" t="s">
        <v>44</v>
      </c>
    </row>
    <row r="31" spans="2:23" x14ac:dyDescent="0.3">
      <c r="K31" s="22"/>
      <c r="L31" s="22"/>
      <c r="M31" s="22"/>
      <c r="N31" s="22"/>
      <c r="O31" s="22"/>
      <c r="P31" s="22"/>
      <c r="R31" s="22" t="s">
        <v>65</v>
      </c>
      <c r="S31" s="22" t="s">
        <v>43</v>
      </c>
      <c r="T31" s="22" t="s">
        <v>73</v>
      </c>
      <c r="U31" s="22" t="s">
        <v>106</v>
      </c>
      <c r="V31" s="22" t="s">
        <v>69</v>
      </c>
      <c r="W31" s="22" t="s">
        <v>72</v>
      </c>
    </row>
  </sheetData>
  <sheetProtection algorithmName="SHA-512" hashValue="ihzV08jdw6xjakE9f7GhqESLK58hCdzw6sfIYhxC5a49nZnQOijoNT4eOSplnRcw1h+3RZjzWJ6O3AevqGcM0A==" saltValue="c1nF6h309OzYnEedMymUFw=="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dimension ref="B1:M12"/>
  <sheetViews>
    <sheetView topLeftCell="B2" workbookViewId="0">
      <selection activeCell="B2" sqref="A1:XFD1048576"/>
    </sheetView>
  </sheetViews>
  <sheetFormatPr baseColWidth="10" defaultColWidth="11.44140625" defaultRowHeight="14.4" x14ac:dyDescent="0.3"/>
  <cols>
    <col min="1" max="1" width="0" style="1" hidden="1" customWidth="1"/>
    <col min="2" max="4" width="11.44140625" style="1"/>
    <col min="5" max="5" width="15.44140625" style="1" bestFit="1" customWidth="1"/>
    <col min="6" max="6" width="13.33203125" style="1" bestFit="1" customWidth="1"/>
    <col min="7" max="7" width="13.33203125" style="1" customWidth="1"/>
    <col min="8" max="9" width="11.44140625" style="1"/>
    <col min="10" max="10" width="11.44140625" style="1" customWidth="1"/>
    <col min="11" max="11" width="43.44140625" style="1" bestFit="1" customWidth="1"/>
    <col min="12" max="16384" width="11.44140625" style="1"/>
  </cols>
  <sheetData>
    <row r="1" spans="2:13" hidden="1" x14ac:dyDescent="0.3"/>
    <row r="2" spans="2:13" x14ac:dyDescent="0.3">
      <c r="B2" s="1" t="s">
        <v>13</v>
      </c>
      <c r="C2" s="1" t="s">
        <v>12</v>
      </c>
      <c r="D2" s="1" t="s">
        <v>1</v>
      </c>
      <c r="E2" s="1" t="s">
        <v>74</v>
      </c>
      <c r="F2" s="1" t="s">
        <v>16</v>
      </c>
      <c r="H2" s="1" t="s">
        <v>17</v>
      </c>
      <c r="J2" s="1" t="s">
        <v>18</v>
      </c>
      <c r="L2" s="1" t="s">
        <v>19</v>
      </c>
    </row>
    <row r="3" spans="2:13" x14ac:dyDescent="0.3">
      <c r="B3" s="1" t="s">
        <v>14</v>
      </c>
      <c r="C3" s="1">
        <v>60</v>
      </c>
      <c r="D3" s="1" t="s">
        <v>2</v>
      </c>
      <c r="E3" s="1" t="s">
        <v>75</v>
      </c>
      <c r="F3" s="1" t="s">
        <v>21</v>
      </c>
      <c r="G3" s="1" t="s">
        <v>84</v>
      </c>
      <c r="H3" s="1" t="s">
        <v>107</v>
      </c>
      <c r="I3" s="1" t="s">
        <v>85</v>
      </c>
      <c r="J3" s="1" t="s">
        <v>25</v>
      </c>
      <c r="K3" s="1" t="s">
        <v>87</v>
      </c>
      <c r="L3" s="1" t="s">
        <v>29</v>
      </c>
      <c r="M3" s="1" t="s">
        <v>89</v>
      </c>
    </row>
    <row r="4" spans="2:13" x14ac:dyDescent="0.3">
      <c r="B4" s="1" t="s">
        <v>15</v>
      </c>
      <c r="C4" s="1">
        <v>90</v>
      </c>
      <c r="D4" s="1" t="s">
        <v>3</v>
      </c>
      <c r="E4" s="1" t="s">
        <v>76</v>
      </c>
      <c r="F4" s="1" t="s">
        <v>20</v>
      </c>
      <c r="G4" s="1" t="s">
        <v>101</v>
      </c>
      <c r="H4" s="1" t="s">
        <v>109</v>
      </c>
      <c r="I4" s="1" t="s">
        <v>86</v>
      </c>
      <c r="J4" s="1" t="s">
        <v>26</v>
      </c>
      <c r="K4" s="1" t="s">
        <v>91</v>
      </c>
      <c r="L4" s="1" t="s">
        <v>28</v>
      </c>
      <c r="M4" s="1" t="s">
        <v>175</v>
      </c>
    </row>
    <row r="5" spans="2:13" x14ac:dyDescent="0.3">
      <c r="C5" s="1">
        <v>120</v>
      </c>
      <c r="D5" s="1" t="s">
        <v>4</v>
      </c>
      <c r="E5" s="1" t="s">
        <v>77</v>
      </c>
      <c r="F5" s="1" t="s">
        <v>22</v>
      </c>
      <c r="G5" s="1" t="s">
        <v>100</v>
      </c>
      <c r="H5" s="1" t="s">
        <v>105</v>
      </c>
      <c r="I5" s="1" t="s">
        <v>104</v>
      </c>
      <c r="J5" s="1" t="s">
        <v>24</v>
      </c>
      <c r="K5" s="1" t="s">
        <v>91</v>
      </c>
      <c r="L5" s="1" t="s">
        <v>24</v>
      </c>
      <c r="M5" s="1" t="s">
        <v>90</v>
      </c>
    </row>
    <row r="6" spans="2:13" x14ac:dyDescent="0.3">
      <c r="D6" s="1" t="s">
        <v>5</v>
      </c>
      <c r="E6" s="1" t="s">
        <v>78</v>
      </c>
      <c r="F6" s="1" t="s">
        <v>23</v>
      </c>
      <c r="G6" s="1" t="s">
        <v>99</v>
      </c>
      <c r="H6" s="1" t="s">
        <v>111</v>
      </c>
      <c r="I6" s="1" t="s">
        <v>110</v>
      </c>
      <c r="J6" s="1" t="s">
        <v>27</v>
      </c>
      <c r="K6" s="1" t="s">
        <v>88</v>
      </c>
    </row>
    <row r="7" spans="2:13" x14ac:dyDescent="0.3">
      <c r="D7" s="1" t="s">
        <v>6</v>
      </c>
      <c r="E7" s="1" t="s">
        <v>79</v>
      </c>
    </row>
    <row r="8" spans="2:13" x14ac:dyDescent="0.3">
      <c r="D8" s="1" t="s">
        <v>7</v>
      </c>
      <c r="E8" s="1" t="s">
        <v>80</v>
      </c>
    </row>
    <row r="9" spans="2:13" x14ac:dyDescent="0.3">
      <c r="D9" s="1" t="s">
        <v>8</v>
      </c>
      <c r="E9" s="1" t="s">
        <v>81</v>
      </c>
    </row>
    <row r="10" spans="2:13" x14ac:dyDescent="0.3">
      <c r="D10" s="1" t="s">
        <v>9</v>
      </c>
      <c r="E10" s="1" t="s">
        <v>82</v>
      </c>
    </row>
    <row r="11" spans="2:13" x14ac:dyDescent="0.3">
      <c r="D11" s="1" t="s">
        <v>10</v>
      </c>
      <c r="E11" s="1" t="s">
        <v>135</v>
      </c>
    </row>
    <row r="12" spans="2:13" x14ac:dyDescent="0.3">
      <c r="D12" s="1" t="s">
        <v>11</v>
      </c>
      <c r="E12" s="1" t="s">
        <v>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5"/>
  <dimension ref="B1:M12"/>
  <sheetViews>
    <sheetView topLeftCell="B2" workbookViewId="0">
      <selection activeCell="M5" sqref="M5"/>
    </sheetView>
  </sheetViews>
  <sheetFormatPr baseColWidth="10" defaultColWidth="11.44140625" defaultRowHeight="14.4" x14ac:dyDescent="0.3"/>
  <cols>
    <col min="1" max="1" width="0" style="1" hidden="1" customWidth="1"/>
    <col min="2" max="4" width="11.44140625" style="1"/>
    <col min="5" max="5" width="19.6640625" style="1" bestFit="1" customWidth="1"/>
    <col min="6" max="6" width="13.33203125" style="1" bestFit="1" customWidth="1"/>
    <col min="7" max="7" width="24.109375" style="1" bestFit="1" customWidth="1"/>
    <col min="8" max="8" width="18.33203125" style="1" bestFit="1" customWidth="1"/>
    <col min="9" max="9" width="19.44140625" style="1" bestFit="1" customWidth="1"/>
    <col min="10" max="10" width="14.6640625" style="1" bestFit="1" customWidth="1"/>
    <col min="11" max="11" width="43.44140625" style="1" bestFit="1" customWidth="1"/>
    <col min="12" max="12" width="17.33203125" style="1" bestFit="1" customWidth="1"/>
    <col min="13" max="16384" width="11.44140625" style="1"/>
  </cols>
  <sheetData>
    <row r="1" spans="2:13" hidden="1" x14ac:dyDescent="0.3"/>
    <row r="2" spans="2:13" x14ac:dyDescent="0.3">
      <c r="B2" s="1" t="s">
        <v>13</v>
      </c>
      <c r="C2" s="1" t="s">
        <v>12</v>
      </c>
      <c r="D2" s="1" t="s">
        <v>1</v>
      </c>
      <c r="E2" s="1" t="s">
        <v>74</v>
      </c>
      <c r="F2" s="1" t="s">
        <v>16</v>
      </c>
      <c r="H2" s="1" t="s">
        <v>17</v>
      </c>
      <c r="J2" s="1" t="s">
        <v>18</v>
      </c>
      <c r="L2" s="1" t="s">
        <v>19</v>
      </c>
    </row>
    <row r="3" spans="2:13" x14ac:dyDescent="0.3">
      <c r="B3" s="1" t="s">
        <v>122</v>
      </c>
      <c r="C3" s="1">
        <v>60</v>
      </c>
      <c r="D3" s="1" t="s">
        <v>124</v>
      </c>
      <c r="E3" s="1" t="s">
        <v>75</v>
      </c>
      <c r="F3" s="1" t="s">
        <v>138</v>
      </c>
      <c r="G3" s="1" t="s">
        <v>141</v>
      </c>
      <c r="H3" s="1" t="s">
        <v>144</v>
      </c>
      <c r="I3" s="1" t="s">
        <v>85</v>
      </c>
      <c r="J3" s="1" t="s">
        <v>147</v>
      </c>
      <c r="K3" s="1" t="s">
        <v>87</v>
      </c>
      <c r="L3" s="1" t="s">
        <v>150</v>
      </c>
      <c r="M3" s="1" t="s">
        <v>89</v>
      </c>
    </row>
    <row r="4" spans="2:13" x14ac:dyDescent="0.3">
      <c r="B4" s="1" t="s">
        <v>123</v>
      </c>
      <c r="C4" s="1">
        <v>90</v>
      </c>
      <c r="D4" s="1" t="s">
        <v>125</v>
      </c>
      <c r="E4" s="1" t="s">
        <v>131</v>
      </c>
      <c r="F4" s="1" t="s">
        <v>20</v>
      </c>
      <c r="G4" s="1" t="s">
        <v>142</v>
      </c>
      <c r="H4" s="1" t="s">
        <v>160</v>
      </c>
      <c r="I4" s="1" t="s">
        <v>86</v>
      </c>
      <c r="J4" s="1" t="s">
        <v>148</v>
      </c>
      <c r="K4" s="1" t="s">
        <v>91</v>
      </c>
      <c r="L4" s="1" t="s">
        <v>145</v>
      </c>
      <c r="M4" s="1" t="s">
        <v>175</v>
      </c>
    </row>
    <row r="5" spans="2:13" x14ac:dyDescent="0.3">
      <c r="C5" s="1">
        <v>120</v>
      </c>
      <c r="D5" s="1" t="s">
        <v>126</v>
      </c>
      <c r="E5" s="1" t="s">
        <v>132</v>
      </c>
      <c r="F5" s="1" t="s">
        <v>139</v>
      </c>
      <c r="G5" s="1" t="s">
        <v>143</v>
      </c>
      <c r="H5" s="1" t="s">
        <v>145</v>
      </c>
      <c r="I5" s="1" t="s">
        <v>104</v>
      </c>
      <c r="J5" s="1" t="s">
        <v>159</v>
      </c>
      <c r="K5" s="1" t="s">
        <v>91</v>
      </c>
      <c r="L5" s="1" t="s">
        <v>159</v>
      </c>
      <c r="M5" s="1" t="s">
        <v>90</v>
      </c>
    </row>
    <row r="6" spans="2:13" x14ac:dyDescent="0.3">
      <c r="D6" s="1" t="s">
        <v>127</v>
      </c>
      <c r="E6" s="1" t="s">
        <v>133</v>
      </c>
      <c r="F6" s="1" t="s">
        <v>140</v>
      </c>
      <c r="G6" s="1" t="s">
        <v>99</v>
      </c>
      <c r="H6" s="1" t="s">
        <v>146</v>
      </c>
      <c r="I6" s="1" t="s">
        <v>110</v>
      </c>
      <c r="J6" s="1" t="s">
        <v>149</v>
      </c>
      <c r="K6" s="1" t="s">
        <v>158</v>
      </c>
    </row>
    <row r="7" spans="2:13" x14ac:dyDescent="0.3">
      <c r="D7" s="1" t="s">
        <v>128</v>
      </c>
      <c r="E7" s="1" t="s">
        <v>79</v>
      </c>
    </row>
    <row r="8" spans="2:13" x14ac:dyDescent="0.3">
      <c r="D8" s="1" t="s">
        <v>129</v>
      </c>
      <c r="E8" s="1" t="s">
        <v>80</v>
      </c>
    </row>
    <row r="9" spans="2:13" x14ac:dyDescent="0.3">
      <c r="D9" s="1" t="s">
        <v>8</v>
      </c>
      <c r="E9" s="1" t="s">
        <v>81</v>
      </c>
    </row>
    <row r="10" spans="2:13" x14ac:dyDescent="0.3">
      <c r="D10" s="1" t="s">
        <v>9</v>
      </c>
      <c r="E10" s="1" t="s">
        <v>134</v>
      </c>
    </row>
    <row r="11" spans="2:13" x14ac:dyDescent="0.3">
      <c r="D11" s="1" t="s">
        <v>10</v>
      </c>
      <c r="E11" s="1" t="s">
        <v>136</v>
      </c>
    </row>
    <row r="12" spans="2:13" x14ac:dyDescent="0.3">
      <c r="D12" s="1" t="s">
        <v>130</v>
      </c>
      <c r="E12" s="1" t="s">
        <v>137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1.Introduction</vt:lpstr>
      <vt:lpstr>2.Presentation</vt:lpstr>
      <vt:lpstr>3.Inputs</vt:lpstr>
      <vt:lpstr>4.Warm-up</vt:lpstr>
      <vt:lpstr>5.Program</vt:lpstr>
      <vt:lpstr>Informations</vt:lpstr>
      <vt:lpstr>RIS_Calculation</vt:lpstr>
      <vt:lpstr>Exercises</vt:lpstr>
      <vt:lpstr>DATA_Building</vt:lpstr>
      <vt:lpstr>DATA_Construction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dc:creator>
  <cp:lastModifiedBy>Matthias Gisselbrecht</cp:lastModifiedBy>
  <dcterms:created xsi:type="dcterms:W3CDTF">2024-03-02T09:08:11Z</dcterms:created>
  <dcterms:modified xsi:type="dcterms:W3CDTF">2024-12-24T16:09:06Z</dcterms:modified>
</cp:coreProperties>
</file>